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C:\Users\yeswa\Desktop\AI POWERED DATA ANALYTICS\"/>
    </mc:Choice>
  </mc:AlternateContent>
  <xr:revisionPtr revIDLastSave="0" documentId="13_ncr:1_{6079003B-88A3-457B-A8F6-D62416B8DCD9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Sheet1" sheetId="3" r:id="rId1"/>
    <sheet name="counteriers data" sheetId="2" r:id="rId2"/>
  </sheets>
  <definedNames>
    <definedName name="ExternalData_1" localSheetId="1" hidden="1">'counteriers data'!$A$1:$U$163</definedName>
  </definedNames>
  <calcPr calcId="162913"/>
  <pivotCaches>
    <pivotCache cacheId="3" r:id="rId3"/>
  </pivotCaches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921B781-D29B-4F03-AE00-3EBE2884BB7B}" keepAlive="1" name="Query - counteriers data" description="Connection to the 'counteriers data' query in the workbook." type="5" refreshedVersion="8" background="1" saveData="1">
    <dbPr connection="Provider=Microsoft.Mashup.OleDb.1;Data Source=$Workbook$;Location=&quot;counteriers data&quot;;Extended Properties=&quot;&quot;" command="SELECT * FROM [counteriers data]"/>
  </connection>
</connections>
</file>

<file path=xl/sharedStrings.xml><?xml version="1.0" encoding="utf-8"?>
<sst xmlns="http://schemas.openxmlformats.org/spreadsheetml/2006/main" count="520" uniqueCount="198">
  <si>
    <t>Country</t>
  </si>
  <si>
    <t>Region</t>
  </si>
  <si>
    <t>Population (millions)</t>
  </si>
  <si>
    <t>HDI</t>
  </si>
  <si>
    <t>GDP per Capita</t>
  </si>
  <si>
    <t>Cropland Footprint</t>
  </si>
  <si>
    <t>Grazing Footprint</t>
  </si>
  <si>
    <t>Forest Footprint</t>
  </si>
  <si>
    <t>Carbon Footprint</t>
  </si>
  <si>
    <t>Fish Footprint</t>
  </si>
  <si>
    <t>Total Ecological Footprint</t>
  </si>
  <si>
    <t>Cropland</t>
  </si>
  <si>
    <t>Grazing Land</t>
  </si>
  <si>
    <t>Forest Land</t>
  </si>
  <si>
    <t>Fishing Water</t>
  </si>
  <si>
    <t>Urban Land</t>
  </si>
  <si>
    <t>Total Biocapacity</t>
  </si>
  <si>
    <t>Biocapacity Deficit or Reserve</t>
  </si>
  <si>
    <t>Earths Required</t>
  </si>
  <si>
    <t>Countries Required</t>
  </si>
  <si>
    <t>Data Quality</t>
  </si>
  <si>
    <t>Middle East/Central Asia</t>
  </si>
  <si>
    <t>Northern/Eastern Europe</t>
  </si>
  <si>
    <t>Australia</t>
  </si>
  <si>
    <t>Asia-Pacific</t>
  </si>
  <si>
    <t>European Union</t>
  </si>
  <si>
    <t>3L</t>
  </si>
  <si>
    <t>North America</t>
  </si>
  <si>
    <t>Canada</t>
  </si>
  <si>
    <t>Denmark</t>
  </si>
  <si>
    <t>Ireland</t>
  </si>
  <si>
    <t>Luxembourg</t>
  </si>
  <si>
    <t>Netherlands</t>
  </si>
  <si>
    <t>Qatar</t>
  </si>
  <si>
    <t>Singapore</t>
  </si>
  <si>
    <t>Sweden</t>
  </si>
  <si>
    <t>Switzerland</t>
  </si>
  <si>
    <t>6</t>
  </si>
  <si>
    <t>5</t>
  </si>
  <si>
    <t>Austria</t>
  </si>
  <si>
    <t>United States of America</t>
  </si>
  <si>
    <t>Belgium</t>
  </si>
  <si>
    <t>Brunei Darussalam</t>
  </si>
  <si>
    <t>Germany</t>
  </si>
  <si>
    <t>Japan</t>
  </si>
  <si>
    <t>France</t>
  </si>
  <si>
    <t>Kuwait</t>
  </si>
  <si>
    <t>United Kingdom</t>
  </si>
  <si>
    <t>United Arab Emirates</t>
  </si>
  <si>
    <t>Italy</t>
  </si>
  <si>
    <t>New Zealand</t>
  </si>
  <si>
    <t>3B</t>
  </si>
  <si>
    <t>Israel</t>
  </si>
  <si>
    <t>Spain</t>
  </si>
  <si>
    <t>Cyprus</t>
  </si>
  <si>
    <t>Greece</t>
  </si>
  <si>
    <t>Slovenia</t>
  </si>
  <si>
    <t>Bahrain</t>
  </si>
  <si>
    <t>Korea, Republic of</t>
  </si>
  <si>
    <t>Equatorial Guinea</t>
  </si>
  <si>
    <t>Africa</t>
  </si>
  <si>
    <t>Saudi Arabia</t>
  </si>
  <si>
    <t>Portugal</t>
  </si>
  <si>
    <t>Bahamas</t>
  </si>
  <si>
    <t>Latin America</t>
  </si>
  <si>
    <t>Oman</t>
  </si>
  <si>
    <t>Czech Republic</t>
  </si>
  <si>
    <t>Trinidad and Tobago</t>
  </si>
  <si>
    <t>Slovakia</t>
  </si>
  <si>
    <t>Barbados</t>
  </si>
  <si>
    <t>Chile</t>
  </si>
  <si>
    <t>Croatia</t>
  </si>
  <si>
    <t>Lithuania</t>
  </si>
  <si>
    <t>Uruguay</t>
  </si>
  <si>
    <t>Hungary</t>
  </si>
  <si>
    <t>Poland</t>
  </si>
  <si>
    <t>Latvia</t>
  </si>
  <si>
    <t>Argentina</t>
  </si>
  <si>
    <t>Russian Federation</t>
  </si>
  <si>
    <t>Brazil</t>
  </si>
  <si>
    <t>Saint Kitts and Nevis</t>
  </si>
  <si>
    <t>Gabon</t>
  </si>
  <si>
    <t>Kazakhstan</t>
  </si>
  <si>
    <t>Turkey</t>
  </si>
  <si>
    <t>Malaysia</t>
  </si>
  <si>
    <t>Venezuela, Bolivarian Republic of</t>
  </si>
  <si>
    <t>Mexico</t>
  </si>
  <si>
    <t>Romania</t>
  </si>
  <si>
    <t>Lebanon</t>
  </si>
  <si>
    <t>Costa Rica</t>
  </si>
  <si>
    <t>Mauritius</t>
  </si>
  <si>
    <t>Panama</t>
  </si>
  <si>
    <t>Suriname</t>
  </si>
  <si>
    <t>South Africa</t>
  </si>
  <si>
    <t>Botswana</t>
  </si>
  <si>
    <t>Saint Lucia</t>
  </si>
  <si>
    <t>Bulgaria</t>
  </si>
  <si>
    <t>Iran, Islamic Republic of</t>
  </si>
  <si>
    <t>Colombia</t>
  </si>
  <si>
    <t>Montenegro</t>
  </si>
  <si>
    <t>Azerbaijan</t>
  </si>
  <si>
    <t>Dominica</t>
  </si>
  <si>
    <t>Serbia</t>
  </si>
  <si>
    <t>Belarus</t>
  </si>
  <si>
    <t>Dominican Republic</t>
  </si>
  <si>
    <t>Namibia</t>
  </si>
  <si>
    <t>Libyan Arab Jamahiriya</t>
  </si>
  <si>
    <t>Iraq</t>
  </si>
  <si>
    <t>Peru</t>
  </si>
  <si>
    <t>China</t>
  </si>
  <si>
    <t>Thailand</t>
  </si>
  <si>
    <t>Algeria</t>
  </si>
  <si>
    <t>Turkmenistan</t>
  </si>
  <si>
    <t>Jamaica</t>
  </si>
  <si>
    <t>Ecuador</t>
  </si>
  <si>
    <t>Cuba</t>
  </si>
  <si>
    <t>Macedonia TFYR</t>
  </si>
  <si>
    <t>Timor-Leste</t>
  </si>
  <si>
    <t>Bosnia and Herzegovina</t>
  </si>
  <si>
    <t>Angola</t>
  </si>
  <si>
    <t>Swaziland</t>
  </si>
  <si>
    <t>Jordan</t>
  </si>
  <si>
    <t>Albania</t>
  </si>
  <si>
    <t>Tonga</t>
  </si>
  <si>
    <t>Tunisia</t>
  </si>
  <si>
    <t>Fiji</t>
  </si>
  <si>
    <t>Samoa</t>
  </si>
  <si>
    <t>Mongolia</t>
  </si>
  <si>
    <t>Georgia</t>
  </si>
  <si>
    <t>El Salvador</t>
  </si>
  <si>
    <t>Indonesia</t>
  </si>
  <si>
    <t>Ukraine</t>
  </si>
  <si>
    <t>Paraguay</t>
  </si>
  <si>
    <t>Armenia</t>
  </si>
  <si>
    <t>Guyana</t>
  </si>
  <si>
    <t>Guatemala</t>
  </si>
  <si>
    <t>Morocco</t>
  </si>
  <si>
    <t>Egypt</t>
  </si>
  <si>
    <t>Sri Lanka</t>
  </si>
  <si>
    <t>Nigeria</t>
  </si>
  <si>
    <t>Bhutan</t>
  </si>
  <si>
    <t>Philippines</t>
  </si>
  <si>
    <t>Honduras</t>
  </si>
  <si>
    <t>Bolivia</t>
  </si>
  <si>
    <t>Moldova</t>
  </si>
  <si>
    <t>Congo</t>
  </si>
  <si>
    <t>Papua New Guinea</t>
  </si>
  <si>
    <t>Zambia</t>
  </si>
  <si>
    <t>Solomon Islands</t>
  </si>
  <si>
    <t>Ghana</t>
  </si>
  <si>
    <t>Nicaragua</t>
  </si>
  <si>
    <t>Uzbekistan</t>
  </si>
  <si>
    <t>Viet Nam</t>
  </si>
  <si>
    <t>Mauritania</t>
  </si>
  <si>
    <t>India</t>
  </si>
  <si>
    <t>Sao Tome and Principe</t>
  </si>
  <si>
    <t>Lesotho</t>
  </si>
  <si>
    <t>Yemen</t>
  </si>
  <si>
    <t>Cameroon</t>
  </si>
  <si>
    <t>Lao People's Democratic Republic</t>
  </si>
  <si>
    <t>Pakistan</t>
  </si>
  <si>
    <t>Chad</t>
  </si>
  <si>
    <t>Myanmar</t>
  </si>
  <si>
    <t>Kyrgyzstan</t>
  </si>
  <si>
    <t>Senegal</t>
  </si>
  <si>
    <t>Kenya</t>
  </si>
  <si>
    <t>Zimbabwe</t>
  </si>
  <si>
    <t>Comoros</t>
  </si>
  <si>
    <t>Bangladesh</t>
  </si>
  <si>
    <t>Tajikistan</t>
  </si>
  <si>
    <t>Tanzania, United Republic of</t>
  </si>
  <si>
    <t>Haiti</t>
  </si>
  <si>
    <t>Benin</t>
  </si>
  <si>
    <t>Mali</t>
  </si>
  <si>
    <t>Nepal</t>
  </si>
  <si>
    <t>Guinea-Bissau</t>
  </si>
  <si>
    <t>Burkina Faso</t>
  </si>
  <si>
    <t>Rwanda</t>
  </si>
  <si>
    <t>Afghanistan</t>
  </si>
  <si>
    <t>Uganda</t>
  </si>
  <si>
    <t>Togo</t>
  </si>
  <si>
    <t>Mozambique</t>
  </si>
  <si>
    <t>Gambia</t>
  </si>
  <si>
    <t>Sierra Leone</t>
  </si>
  <si>
    <t>Central African Republic</t>
  </si>
  <si>
    <t>Malawi</t>
  </si>
  <si>
    <t>Guinea</t>
  </si>
  <si>
    <t>Madagascar</t>
  </si>
  <si>
    <t>Eritrea</t>
  </si>
  <si>
    <t>Niger</t>
  </si>
  <si>
    <t>Liberia</t>
  </si>
  <si>
    <t>Ethiopia</t>
  </si>
  <si>
    <t>Congo, Democratic Republic of</t>
  </si>
  <si>
    <t>Burundi</t>
  </si>
  <si>
    <t>4</t>
  </si>
  <si>
    <t>Row Labels</t>
  </si>
  <si>
    <t>Grand Total</t>
  </si>
  <si>
    <t>Sum of GDP per Capita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</si>
</sst>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</cellXfs>
  <cellStyles count="1">
    <cellStyle name="Normal" xfId="0" builtinId="0"/>
  </cellStyles>
  <dxfs count="4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pivotCacheDefinition" Target="pivotCache/pivotCacheDefinition1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GDP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'counteriers data'!$B$2</c:f>
              <c:strCache>
                <c:ptCount val="1"/>
                <c:pt idx="0">
                  <c:v>European Union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'counteriers data'!$E$1</c:f>
              <c:strCache>
                <c:ptCount val="1"/>
                <c:pt idx="0">
                  <c:v>GDP per Capita</c:v>
                </c:pt>
              </c:strCache>
            </c:strRef>
          </c:cat>
          <c:val>
            <c:numRef>
              <c:f>'counteriers data'!$E$2</c:f>
              <c:numCache>
                <c:formatCode>General</c:formatCode>
                <c:ptCount val="1"/>
                <c:pt idx="0">
                  <c:v>114665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3CE-4ADA-8096-4E269F7320E2}"/>
            </c:ext>
          </c:extLst>
        </c:ser>
        <c:ser>
          <c:idx val="1"/>
          <c:order val="1"/>
          <c:tx>
            <c:strRef>
              <c:f>'counteriers data'!$B$3</c:f>
              <c:strCache>
                <c:ptCount val="1"/>
                <c:pt idx="0">
                  <c:v>Middle East/Central Asia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'counteriers data'!$E$1</c:f>
              <c:strCache>
                <c:ptCount val="1"/>
                <c:pt idx="0">
                  <c:v>GDP per Capita</c:v>
                </c:pt>
              </c:strCache>
            </c:strRef>
          </c:cat>
          <c:val>
            <c:numRef>
              <c:f>'counteriers data'!$E$3</c:f>
              <c:numCache>
                <c:formatCode>General</c:formatCode>
                <c:ptCount val="1"/>
                <c:pt idx="0">
                  <c:v>99431.5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3CE-4ADA-8096-4E269F7320E2}"/>
            </c:ext>
          </c:extLst>
        </c:ser>
        <c:ser>
          <c:idx val="2"/>
          <c:order val="2"/>
          <c:tx>
            <c:strRef>
              <c:f>'counteriers data'!$B$4</c:f>
              <c:strCache>
                <c:ptCount val="1"/>
                <c:pt idx="0">
                  <c:v>Northern/Eastern Europe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'counteriers data'!$E$1</c:f>
              <c:strCache>
                <c:ptCount val="1"/>
                <c:pt idx="0">
                  <c:v>GDP per Capita</c:v>
                </c:pt>
              </c:strCache>
            </c:strRef>
          </c:cat>
          <c:val>
            <c:numRef>
              <c:f>'counteriers data'!$E$4</c:f>
              <c:numCache>
                <c:formatCode>General</c:formatCode>
                <c:ptCount val="1"/>
                <c:pt idx="0">
                  <c:v>88506.2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E3CE-4ADA-8096-4E269F7320E2}"/>
            </c:ext>
          </c:extLst>
        </c:ser>
        <c:ser>
          <c:idx val="3"/>
          <c:order val="3"/>
          <c:tx>
            <c:strRef>
              <c:f>'counteriers data'!$B$5</c:f>
              <c:strCache>
                <c:ptCount val="1"/>
                <c:pt idx="0">
                  <c:v>Asia-Pacific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'counteriers data'!$E$1</c:f>
              <c:strCache>
                <c:ptCount val="1"/>
                <c:pt idx="0">
                  <c:v>GDP per Capita</c:v>
                </c:pt>
              </c:strCache>
            </c:strRef>
          </c:cat>
          <c:val>
            <c:numRef>
              <c:f>'counteriers data'!$E$5</c:f>
              <c:numCache>
                <c:formatCode>General</c:formatCode>
                <c:ptCount val="1"/>
                <c:pt idx="0">
                  <c:v>66604.2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E3CE-4ADA-8096-4E269F7320E2}"/>
            </c:ext>
          </c:extLst>
        </c:ser>
        <c:ser>
          <c:idx val="4"/>
          <c:order val="4"/>
          <c:tx>
            <c:strRef>
              <c:f>'counteriers data'!$B$6</c:f>
              <c:strCache>
                <c:ptCount val="1"/>
                <c:pt idx="0">
                  <c:v>European Union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'counteriers data'!$E$1</c:f>
              <c:strCache>
                <c:ptCount val="1"/>
                <c:pt idx="0">
                  <c:v>GDP per Capita</c:v>
                </c:pt>
              </c:strCache>
            </c:strRef>
          </c:cat>
          <c:val>
            <c:numRef>
              <c:f>'counteriers data'!$E$6</c:f>
              <c:numCache>
                <c:formatCode>General</c:formatCode>
                <c:ptCount val="1"/>
                <c:pt idx="0">
                  <c:v>61413.599999999999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E3CE-4ADA-8096-4E269F7320E2}"/>
            </c:ext>
          </c:extLst>
        </c:ser>
        <c:ser>
          <c:idx val="5"/>
          <c:order val="5"/>
          <c:tx>
            <c:strRef>
              <c:f>'counteriers data'!$B$7</c:f>
              <c:strCache>
                <c:ptCount val="1"/>
                <c:pt idx="0">
                  <c:v>European Union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'counteriers data'!$E$1</c:f>
              <c:strCache>
                <c:ptCount val="1"/>
                <c:pt idx="0">
                  <c:v>GDP per Capita</c:v>
                </c:pt>
              </c:strCache>
            </c:strRef>
          </c:cat>
          <c:val>
            <c:numRef>
              <c:f>'counteriers data'!$E$7</c:f>
              <c:numCache>
                <c:formatCode>General</c:formatCode>
                <c:ptCount val="1"/>
                <c:pt idx="0">
                  <c:v>59381.9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E3CE-4ADA-8096-4E269F7320E2}"/>
            </c:ext>
          </c:extLst>
        </c:ser>
        <c:ser>
          <c:idx val="6"/>
          <c:order val="6"/>
          <c:tx>
            <c:strRef>
              <c:f>'counteriers data'!$B$8</c:f>
              <c:strCache>
                <c:ptCount val="1"/>
                <c:pt idx="0">
                  <c:v>European Union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'counteriers data'!$E$1</c:f>
              <c:strCache>
                <c:ptCount val="1"/>
                <c:pt idx="0">
                  <c:v>GDP per Capita</c:v>
                </c:pt>
              </c:strCache>
            </c:strRef>
          </c:cat>
          <c:val>
            <c:numRef>
              <c:f>'counteriers data'!$E$8</c:f>
              <c:numCache>
                <c:formatCode>General</c:formatCode>
                <c:ptCount val="1"/>
                <c:pt idx="0">
                  <c:v>53589.9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E3CE-4ADA-8096-4E269F7320E2}"/>
            </c:ext>
          </c:extLst>
        </c:ser>
        <c:ser>
          <c:idx val="7"/>
          <c:order val="7"/>
          <c:tx>
            <c:strRef>
              <c:f>'counteriers data'!$B$9</c:f>
              <c:strCache>
                <c:ptCount val="1"/>
                <c:pt idx="0">
                  <c:v>Asia-Pacific</c:v>
                </c:pt>
              </c:strCache>
            </c:strRef>
          </c:tx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'counteriers data'!$E$1</c:f>
              <c:strCache>
                <c:ptCount val="1"/>
                <c:pt idx="0">
                  <c:v>GDP per Capita</c:v>
                </c:pt>
              </c:strCache>
            </c:strRef>
          </c:cat>
          <c:val>
            <c:numRef>
              <c:f>'counteriers data'!$E$9</c:f>
              <c:numCache>
                <c:formatCode>General</c:formatCode>
                <c:ptCount val="1"/>
                <c:pt idx="0">
                  <c:v>53122.400000000001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E3CE-4ADA-8096-4E269F7320E2}"/>
            </c:ext>
          </c:extLst>
        </c:ser>
        <c:ser>
          <c:idx val="8"/>
          <c:order val="8"/>
          <c:tx>
            <c:strRef>
              <c:f>'counteriers data'!$B$10</c:f>
              <c:strCache>
                <c:ptCount val="1"/>
                <c:pt idx="0">
                  <c:v>European Union</c:v>
                </c:pt>
              </c:strCache>
            </c:strRef>
          </c:tx>
          <c:spPr>
            <a:solidFill>
              <a:schemeClr val="accent3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'counteriers data'!$E$1</c:f>
              <c:strCache>
                <c:ptCount val="1"/>
                <c:pt idx="0">
                  <c:v>GDP per Capita</c:v>
                </c:pt>
              </c:strCache>
            </c:strRef>
          </c:cat>
          <c:val>
            <c:numRef>
              <c:f>'counteriers data'!$E$10</c:f>
              <c:numCache>
                <c:formatCode>General</c:formatCode>
                <c:ptCount val="1"/>
                <c:pt idx="0">
                  <c:v>52853.599999999999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E3CE-4ADA-8096-4E269F7320E2}"/>
            </c:ext>
          </c:extLst>
        </c:ser>
        <c:ser>
          <c:idx val="9"/>
          <c:order val="9"/>
          <c:tx>
            <c:strRef>
              <c:f>'counteriers data'!$B$163</c:f>
              <c:strCache>
                <c:ptCount val="1"/>
                <c:pt idx="0">
                  <c:v>Africa</c:v>
                </c:pt>
              </c:strCache>
            </c:strRef>
          </c:tx>
          <c:spPr>
            <a:solidFill>
              <a:schemeClr val="accent4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'counteriers data'!$E$1</c:f>
              <c:strCache>
                <c:ptCount val="1"/>
                <c:pt idx="0">
                  <c:v>GDP per Capita</c:v>
                </c:pt>
              </c:strCache>
            </c:strRef>
          </c:cat>
          <c:val>
            <c:numRef>
              <c:f>'counteriers data'!$E$163</c:f>
              <c:numCache>
                <c:formatCode>General</c:formatCode>
                <c:ptCount val="1"/>
                <c:pt idx="0">
                  <c:v>276.69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E3CE-4ADA-8096-4E269F7320E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062630463"/>
        <c:axId val="2062629503"/>
      </c:barChart>
      <c:catAx>
        <c:axId val="206263046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62629503"/>
        <c:crosses val="autoZero"/>
        <c:auto val="1"/>
        <c:lblAlgn val="ctr"/>
        <c:lblOffset val="100"/>
        <c:noMultiLvlLbl val="0"/>
      </c:catAx>
      <c:valAx>
        <c:axId val="20626295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6263046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944880</xdr:colOff>
      <xdr:row>163</xdr:row>
      <xdr:rowOff>11430</xdr:rowOff>
    </xdr:from>
    <xdr:to>
      <xdr:col>8</xdr:col>
      <xdr:colOff>746760</xdr:colOff>
      <xdr:row>178</xdr:row>
      <xdr:rowOff>11430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747F83C0-DD06-D28A-C10E-9250F878554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yeswanth pavan basava" refreshedDate="46129.436052083336" createdVersion="8" refreshedVersion="8" minRefreshableVersion="3" recordCount="162" xr:uid="{9DEC8AF4-597A-4BD0-98BA-55D8327B37BF}">
  <cacheSource type="worksheet">
    <worksheetSource name="counteriers_data"/>
  </cacheSource>
  <cacheFields count="21">
    <cacheField name="Country" numFmtId="0">
      <sharedItems count="162">
        <s v="Luxembourg"/>
        <s v="Qatar"/>
        <s v="Switzerland"/>
        <s v="Australia"/>
        <s v="Denmark"/>
        <s v="Sweden"/>
        <s v="Netherlands"/>
        <s v="Singapore"/>
        <s v="Ireland"/>
        <s v="Canada"/>
        <s v="Austria"/>
        <s v="United States of America"/>
        <s v="Belgium"/>
        <s v="Brunei Darussalam"/>
        <s v="Germany"/>
        <s v="Japan"/>
        <s v="France"/>
        <s v="Kuwait"/>
        <s v="United Kingdom"/>
        <s v="United Arab Emirates"/>
        <s v="Italy"/>
        <s v="New Zealand"/>
        <s v="Israel"/>
        <s v="Spain"/>
        <s v="Cyprus"/>
        <s v="Greece"/>
        <s v="Slovenia"/>
        <s v="Bahrain"/>
        <s v="Korea, Republic of"/>
        <s v="Equatorial Guinea"/>
        <s v="Saudi Arabia"/>
        <s v="Portugal"/>
        <s v="Bahamas"/>
        <s v="Oman"/>
        <s v="Czech Republic"/>
        <s v="Trinidad and Tobago"/>
        <s v="Slovakia"/>
        <s v="Barbados"/>
        <s v="Chile"/>
        <s v="Croatia"/>
        <s v="Lithuania"/>
        <s v="Uruguay"/>
        <s v="Hungary"/>
        <s v="Poland"/>
        <s v="Latvia"/>
        <s v="Argentina"/>
        <s v="Russian Federation"/>
        <s v="Brazil"/>
        <s v="Saint Kitts and Nevis"/>
        <s v="Gabon"/>
        <s v="Kazakhstan"/>
        <s v="Turkey"/>
        <s v="Malaysia"/>
        <s v="Venezuela, Bolivarian Republic of"/>
        <s v="Mexico"/>
        <s v="Romania"/>
        <s v="Lebanon"/>
        <s v="Costa Rica"/>
        <s v="Mauritius"/>
        <s v="Panama"/>
        <s v="Suriname"/>
        <s v="South Africa"/>
        <s v="Botswana"/>
        <s v="Saint Lucia"/>
        <s v="Bulgaria"/>
        <s v="Iran, Islamic Republic of"/>
        <s v="Colombia"/>
        <s v="Montenegro"/>
        <s v="Azerbaijan"/>
        <s v="Dominica"/>
        <s v="Serbia"/>
        <s v="Belarus"/>
        <s v="Dominican Republic"/>
        <s v="Namibia"/>
        <s v="Libyan Arab Jamahiriya"/>
        <s v="Iraq"/>
        <s v="Peru"/>
        <s v="China"/>
        <s v="Thailand"/>
        <s v="Algeria"/>
        <s v="Turkmenistan"/>
        <s v="Jamaica"/>
        <s v="Ecuador"/>
        <s v="Cuba"/>
        <s v="Macedonia TFYR"/>
        <s v="Timor-Leste"/>
        <s v="Bosnia and Herzegovina"/>
        <s v="Angola"/>
        <s v="Swaziland"/>
        <s v="Jordan"/>
        <s v="Albania"/>
        <s v="Tonga"/>
        <s v="Tunisia"/>
        <s v="Fiji"/>
        <s v="Samoa"/>
        <s v="Mongolia"/>
        <s v="Georgia"/>
        <s v="El Salvador"/>
        <s v="Indonesia"/>
        <s v="Ukraine"/>
        <s v="Paraguay"/>
        <s v="Armenia"/>
        <s v="Guyana"/>
        <s v="Guatemala"/>
        <s v="Morocco"/>
        <s v="Egypt"/>
        <s v="Sri Lanka"/>
        <s v="Nigeria"/>
        <s v="Bhutan"/>
        <s v="Philippines"/>
        <s v="Honduras"/>
        <s v="Bolivia"/>
        <s v="Moldova"/>
        <s v="Congo"/>
        <s v="Papua New Guinea"/>
        <s v="Zambia"/>
        <s v="Solomon Islands"/>
        <s v="Ghana"/>
        <s v="Nicaragua"/>
        <s v="Uzbekistan"/>
        <s v="Viet Nam"/>
        <s v="Mauritania"/>
        <s v="India"/>
        <s v="Sao Tome and Principe"/>
        <s v="Lesotho"/>
        <s v="Yemen"/>
        <s v="Cameroon"/>
        <s v="Lao People's Democratic Republic"/>
        <s v="Pakistan"/>
        <s v="Chad"/>
        <s v="Myanmar"/>
        <s v="Kyrgyzstan"/>
        <s v="Senegal"/>
        <s v="Kenya"/>
        <s v="Zimbabwe"/>
        <s v="Comoros"/>
        <s v="Bangladesh"/>
        <s v="Tajikistan"/>
        <s v="Tanzania, United Republic of"/>
        <s v="Haiti"/>
        <s v="Benin"/>
        <s v="Mali"/>
        <s v="Nepal"/>
        <s v="Guinea-Bissau"/>
        <s v="Burkina Faso"/>
        <s v="Rwanda"/>
        <s v="Afghanistan"/>
        <s v="Uganda"/>
        <s v="Togo"/>
        <s v="Mozambique"/>
        <s v="Gambia"/>
        <s v="Sierra Leone"/>
        <s v="Central African Republic"/>
        <s v="Malawi"/>
        <s v="Guinea"/>
        <s v="Madagascar"/>
        <s v="Eritrea"/>
        <s v="Niger"/>
        <s v="Liberia"/>
        <s v="Ethiopia"/>
        <s v="Congo, Democratic Republic of"/>
        <s v="Burundi"/>
      </sharedItems>
    </cacheField>
    <cacheField name="Region" numFmtId="0">
      <sharedItems/>
    </cacheField>
    <cacheField name="Population (millions)" numFmtId="0">
      <sharedItems containsSemiMixedTypes="0" containsString="0" containsNumber="1" minValue="0.05" maxValue="1408.04"/>
    </cacheField>
    <cacheField name="HDI" numFmtId="0">
      <sharedItems containsSemiMixedTypes="0" containsString="0" containsNumber="1" minValue="0.34" maxValue="0.93"/>
    </cacheField>
    <cacheField name="GDP per Capita" numFmtId="0">
      <sharedItems containsSemiMixedTypes="0" containsString="0" containsNumber="1" minValue="276.69" maxValue="114665"/>
    </cacheField>
    <cacheField name="Cropland Footprint" numFmtId="0">
      <sharedItems containsSemiMixedTypes="0" containsString="0" containsNumber="1" minValue="0.1" maxValue="2.68"/>
    </cacheField>
    <cacheField name="Grazing Footprint" numFmtId="0">
      <sharedItems containsSemiMixedTypes="0" containsString="0" containsNumber="1" minValue="0" maxValue="3.47"/>
    </cacheField>
    <cacheField name="Forest Footprint" numFmtId="0">
      <sharedItems containsSemiMixedTypes="0" containsString="0" containsNumber="1" minValue="0.01" maxValue="3.03"/>
    </cacheField>
    <cacheField name="Carbon Footprint" numFmtId="0">
      <sharedItems containsSemiMixedTypes="0" containsString="0" containsNumber="1" minValue="0" maxValue="12.65"/>
    </cacheField>
    <cacheField name="Fish Footprint" numFmtId="0">
      <sharedItems containsSemiMixedTypes="0" containsString="0" containsNumber="1" minValue="0" maxValue="0.81"/>
    </cacheField>
    <cacheField name="Total Ecological Footprint" numFmtId="0">
      <sharedItems containsSemiMixedTypes="0" containsString="0" containsNumber="1" minValue="0.42" maxValue="15.82"/>
    </cacheField>
    <cacheField name="Cropland" numFmtId="0">
      <sharedItems containsSemiMixedTypes="0" containsString="0" containsNumber="1" minValue="0" maxValue="5.42"/>
    </cacheField>
    <cacheField name="Grazing Land" numFmtId="0">
      <sharedItems containsSemiMixedTypes="0" containsString="0" containsNumber="1" minValue="0" maxValue="8.23"/>
    </cacheField>
    <cacheField name="Forest Land" numFmtId="0">
      <sharedItems containsSemiMixedTypes="0" containsString="0" containsNumber="1" minValue="0" maxValue="81.52"/>
    </cacheField>
    <cacheField name="Fishing Water" numFmtId="0">
      <sharedItems containsSemiMixedTypes="0" containsString="0" containsNumber="1" minValue="0" maxValue="8.27"/>
    </cacheField>
    <cacheField name="Urban Land" numFmtId="0">
      <sharedItems containsSemiMixedTypes="0" containsString="0" containsNumber="1" minValue="0" maxValue="0.27"/>
    </cacheField>
    <cacheField name="Total Biocapacity" numFmtId="0">
      <sharedItems containsSemiMixedTypes="0" containsString="0" containsNumber="1" minValue="0.05" maxValue="89.33"/>
    </cacheField>
    <cacheField name="Biocapacity Deficit or Reserve" numFmtId="0">
      <sharedItems containsSemiMixedTypes="0" containsString="0" containsNumber="1" minValue="-14.14" maxValue="85.08"/>
    </cacheField>
    <cacheField name="Earths Required" numFmtId="0">
      <sharedItems containsSemiMixedTypes="0" containsString="0" containsNumber="1" minValue="0.24" maxValue="9.14"/>
    </cacheField>
    <cacheField name="Countries Required" numFmtId="0">
      <sharedItems containsSemiMixedTypes="0" containsString="0" containsNumber="1" minValue="0.05" maxValue="159.47"/>
    </cacheField>
    <cacheField name="Data Quality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62">
  <r>
    <x v="0"/>
    <s v="European Union"/>
    <n v="0.52"/>
    <n v="0.89"/>
    <n v="114665"/>
    <n v="1.1000000000000001"/>
    <n v="0.76"/>
    <n v="1.03"/>
    <n v="12.65"/>
    <n v="0.13"/>
    <n v="15.82"/>
    <n v="0.56999999999999995"/>
    <n v="0.08"/>
    <n v="0.89"/>
    <n v="0"/>
    <n v="0.14000000000000001"/>
    <n v="1.68"/>
    <n v="-14.14"/>
    <n v="9.14"/>
    <n v="9.44"/>
    <s v="5"/>
  </r>
  <r>
    <x v="1"/>
    <s v="Middle East/Central Asia"/>
    <n v="2.0499999999999998"/>
    <n v="0.85"/>
    <n v="99431.5"/>
    <n v="0.56999999999999995"/>
    <n v="0.27"/>
    <n v="0.15"/>
    <n v="9.57"/>
    <n v="0.19"/>
    <n v="10.8"/>
    <n v="0.01"/>
    <n v="0"/>
    <n v="0"/>
    <n v="1.17"/>
    <n v="0.06"/>
    <n v="1.24"/>
    <n v="-9.56"/>
    <n v="6.24"/>
    <n v="8.7200000000000006"/>
    <s v="3L"/>
  </r>
  <r>
    <x v="2"/>
    <s v="Northern/Eastern Europe"/>
    <n v="8"/>
    <n v="0.93"/>
    <n v="88506.2"/>
    <n v="0.75"/>
    <n v="0.22"/>
    <n v="0.38"/>
    <n v="4.26"/>
    <n v="7.0000000000000007E-2"/>
    <n v="5.79"/>
    <n v="0.32"/>
    <n v="0.12"/>
    <n v="0.74"/>
    <n v="0.01"/>
    <n v="0.12"/>
    <n v="1.3"/>
    <n v="-4.4800000000000004"/>
    <n v="3.34"/>
    <n v="4.4400000000000004"/>
    <s v="6"/>
  </r>
  <r>
    <x v="3"/>
    <s v="Asia-Pacific"/>
    <n v="23.05"/>
    <n v="0.93"/>
    <n v="66604.2"/>
    <n v="2.68"/>
    <n v="0.63"/>
    <n v="0.89"/>
    <n v="4.8499999999999996"/>
    <n v="0.11"/>
    <n v="9.31"/>
    <n v="5.42"/>
    <n v="5.81"/>
    <n v="2.0099999999999998"/>
    <n v="3.19"/>
    <n v="0.14000000000000001"/>
    <n v="16.57"/>
    <n v="7.26"/>
    <n v="5.37"/>
    <n v="0.56000000000000005"/>
    <s v="5"/>
  </r>
  <r>
    <x v="4"/>
    <s v="European Union"/>
    <n v="5.6"/>
    <n v="0.92"/>
    <n v="61413.599999999999"/>
    <n v="1.18"/>
    <n v="0.47"/>
    <n v="0.77"/>
    <n v="2.6"/>
    <n v="0.24"/>
    <n v="5.51"/>
    <n v="2.38"/>
    <n v="0.01"/>
    <n v="0.34"/>
    <n v="1.8"/>
    <n v="0.25"/>
    <n v="4.78"/>
    <n v="-0.73"/>
    <n v="3.18"/>
    <n v="1.1499999999999999"/>
    <s v="5"/>
  </r>
  <r>
    <x v="5"/>
    <s v="European Union"/>
    <n v="9.51"/>
    <n v="0.9"/>
    <n v="59381.9"/>
    <n v="1.47"/>
    <n v="0.27"/>
    <n v="1.3"/>
    <n v="3.88"/>
    <n v="0.09"/>
    <n v="7.25"/>
    <n v="1.31"/>
    <n v="0.22"/>
    <n v="6.66"/>
    <n v="2.19"/>
    <n v="0.24"/>
    <n v="10.62"/>
    <n v="3.38"/>
    <n v="4.1900000000000004"/>
    <n v="0.68"/>
    <s v="5"/>
  </r>
  <r>
    <x v="6"/>
    <s v="European Union"/>
    <n v="16.71"/>
    <n v="0.92"/>
    <n v="53589.9"/>
    <n v="0.76"/>
    <n v="0.57999999999999996"/>
    <n v="0.38"/>
    <n v="3.23"/>
    <n v="0.16"/>
    <n v="5.28"/>
    <n v="0.45"/>
    <n v="0.04"/>
    <n v="0.08"/>
    <n v="0.43"/>
    <n v="0.17"/>
    <n v="1.17"/>
    <n v="-4.1100000000000003"/>
    <n v="3.05"/>
    <n v="4.53"/>
    <s v="6"/>
  </r>
  <r>
    <x v="7"/>
    <s v="Asia-Pacific"/>
    <n v="5.3"/>
    <n v="0.91"/>
    <n v="53122.400000000001"/>
    <n v="0.67"/>
    <n v="0.24"/>
    <n v="0.91"/>
    <n v="5.91"/>
    <n v="0.22"/>
    <n v="7.97"/>
    <n v="0"/>
    <n v="0"/>
    <n v="0"/>
    <n v="0.01"/>
    <n v="0.03"/>
    <n v="0.05"/>
    <n v="-7.92"/>
    <n v="4.6100000000000003"/>
    <n v="159.47"/>
    <s v="5"/>
  </r>
  <r>
    <x v="8"/>
    <s v="European Union"/>
    <n v="4.58"/>
    <n v="0.91"/>
    <n v="52853.599999999999"/>
    <n v="1.08"/>
    <n v="0.49"/>
    <n v="0.46"/>
    <n v="3.22"/>
    <n v="0.18"/>
    <n v="5.57"/>
    <n v="0.84"/>
    <n v="0.76"/>
    <n v="0.5"/>
    <n v="1.49"/>
    <n v="0.13"/>
    <n v="3.73"/>
    <n v="-1.83"/>
    <n v="3.21"/>
    <n v="1.49"/>
    <s v="5"/>
  </r>
  <r>
    <x v="9"/>
    <s v="North America"/>
    <n v="34.840000000000003"/>
    <n v="0.91"/>
    <n v="52145.4"/>
    <n v="1.46"/>
    <n v="0.33"/>
    <n v="1.2"/>
    <n v="5"/>
    <n v="0.12"/>
    <n v="8.17"/>
    <n v="3.11"/>
    <n v="0.28999999999999998"/>
    <n v="9.1199999999999992"/>
    <n v="3.41"/>
    <n v="7.0000000000000007E-2"/>
    <n v="16.010000000000002"/>
    <n v="7.83"/>
    <n v="4.72"/>
    <n v="0.51"/>
    <s v="5"/>
  </r>
  <r>
    <x v="10"/>
    <s v="European Union"/>
    <n v="8.4600000000000009"/>
    <n v="0.88"/>
    <n v="51274.1"/>
    <n v="0.82"/>
    <n v="0.27"/>
    <n v="0.63"/>
    <n v="4.1399999999999997"/>
    <n v="0.06"/>
    <n v="6.06"/>
    <n v="0.71"/>
    <n v="0.16"/>
    <n v="2.04"/>
    <n v="0"/>
    <n v="0.15"/>
    <n v="3.07"/>
    <n v="-3"/>
    <n v="3.5"/>
    <n v="1.98"/>
    <s v="5"/>
  </r>
  <r>
    <x v="11"/>
    <s v="North America"/>
    <n v="317.5"/>
    <n v="0.91"/>
    <n v="49725"/>
    <n v="1.1299999999999999"/>
    <n v="0.3"/>
    <n v="0.67"/>
    <n v="5.9"/>
    <n v="0.12"/>
    <n v="8.2200000000000006"/>
    <n v="1.49"/>
    <n v="0.28000000000000003"/>
    <n v="1.57"/>
    <n v="0.33"/>
    <n v="0.09"/>
    <n v="3.76"/>
    <n v="-4.46"/>
    <n v="4.75"/>
    <n v="2.19"/>
    <s v="6"/>
  </r>
  <r>
    <x v="12"/>
    <s v="European Union"/>
    <n v="11.06"/>
    <n v="0.89"/>
    <n v="48053.3"/>
    <n v="1.1499999999999999"/>
    <n v="0.48"/>
    <n v="0.99"/>
    <n v="4.43"/>
    <n v="0.12"/>
    <n v="7.44"/>
    <n v="0.56000000000000005"/>
    <n v="0.03"/>
    <n v="0.28000000000000003"/>
    <n v="0.04"/>
    <n v="0.27"/>
    <n v="1.19"/>
    <n v="-6.25"/>
    <n v="4.3"/>
    <n v="6.27"/>
    <s v="6"/>
  </r>
  <r>
    <x v="13"/>
    <s v="Asia-Pacific"/>
    <n v="0.41"/>
    <n v="0.85"/>
    <n v="47097.4"/>
    <n v="0.31"/>
    <n v="0.13"/>
    <n v="0.26"/>
    <n v="3.24"/>
    <n v="0.09"/>
    <n v="4.0599999999999996"/>
    <n v="0.02"/>
    <n v="0.01"/>
    <n v="1.57"/>
    <n v="1.24"/>
    <n v="0.03"/>
    <n v="2.87"/>
    <n v="-1.19"/>
    <n v="2.34"/>
    <n v="1.41"/>
    <s v="3L"/>
  </r>
  <r>
    <x v="14"/>
    <s v="European Union"/>
    <n v="82.8"/>
    <n v="0.91"/>
    <n v="46822.400000000001"/>
    <n v="1.1000000000000001"/>
    <n v="0.14000000000000001"/>
    <n v="0.48"/>
    <n v="3.28"/>
    <n v="0.05"/>
    <n v="5.3"/>
    <n v="1.23"/>
    <n v="0.06"/>
    <n v="0.68"/>
    <n v="7.0000000000000007E-2"/>
    <n v="0.24"/>
    <n v="2.27"/>
    <n v="-3.02"/>
    <n v="3.06"/>
    <n v="2.33"/>
    <s v="5"/>
  </r>
  <r>
    <x v="15"/>
    <s v="Asia-Pacific"/>
    <n v="127.25"/>
    <n v="0.89"/>
    <n v="46201.599999999999"/>
    <n v="0.53"/>
    <n v="0.1"/>
    <n v="0.27"/>
    <n v="3.69"/>
    <n v="0.33"/>
    <n v="5.0199999999999996"/>
    <n v="0.16"/>
    <n v="0"/>
    <n v="0.35"/>
    <n v="0.1"/>
    <n v="0.1"/>
    <n v="0.72"/>
    <n v="-4.3"/>
    <n v="2.9"/>
    <n v="7.01"/>
    <s v="6"/>
  </r>
  <r>
    <x v="16"/>
    <s v="European Union"/>
    <n v="63.98"/>
    <n v="0.89"/>
    <n v="45430.3"/>
    <n v="1.23"/>
    <n v="0.27"/>
    <n v="0.53"/>
    <n v="2.71"/>
    <n v="0.19"/>
    <n v="5.14"/>
    <n v="1.67"/>
    <n v="0.16"/>
    <n v="0.96"/>
    <n v="0.11"/>
    <n v="0.21"/>
    <n v="3.11"/>
    <n v="-2.04"/>
    <n v="2.97"/>
    <n v="1.66"/>
    <s v="6"/>
  </r>
  <r>
    <x v="17"/>
    <s v="Middle East/Central Asia"/>
    <n v="3.25"/>
    <n v="0.82"/>
    <n v="41830.5"/>
    <n v="0.55000000000000004"/>
    <n v="0.24"/>
    <n v="0.21"/>
    <n v="6.89"/>
    <n v="0.09"/>
    <n v="8.1300000000000008"/>
    <n v="0.02"/>
    <n v="0.01"/>
    <n v="0"/>
    <n v="0.37"/>
    <n v="0.15"/>
    <n v="0.55000000000000004"/>
    <n v="-7.58"/>
    <n v="4.7"/>
    <n v="14.68"/>
    <s v="3L"/>
  </r>
  <r>
    <x v="18"/>
    <s v="European Union"/>
    <n v="63.03"/>
    <n v="0.9"/>
    <n v="40980.5"/>
    <n v="0.82"/>
    <n v="0.28000000000000003"/>
    <n v="0.45"/>
    <n v="3.14"/>
    <n v="0.08"/>
    <n v="4.9400000000000004"/>
    <n v="0.6"/>
    <n v="0.12"/>
    <n v="0.12"/>
    <n v="0.3"/>
    <n v="0.18"/>
    <n v="1.32"/>
    <n v="-3.62"/>
    <n v="2.85"/>
    <n v="3.76"/>
    <s v="6"/>
  </r>
  <r>
    <x v="19"/>
    <s v="Middle East/Central Asia"/>
    <n v="9.2059999999999995"/>
    <n v="0.83"/>
    <n v="40817.4"/>
    <n v="0.8"/>
    <n v="0.19"/>
    <n v="0.38"/>
    <n v="6.37"/>
    <n v="0.19"/>
    <n v="7.93"/>
    <n v="0.02"/>
    <n v="0"/>
    <n v="7.0000000000000007E-2"/>
    <n v="0.47"/>
    <n v="0"/>
    <n v="0.56000000000000005"/>
    <n v="-7.37"/>
    <n v="4.58"/>
    <n v="14.160714285714301"/>
    <s v="6"/>
  </r>
  <r>
    <x v="20"/>
    <s v="European Union"/>
    <n v="60.92"/>
    <n v="0.87"/>
    <n v="38412"/>
    <n v="0.91"/>
    <n v="0.32"/>
    <n v="0.42"/>
    <n v="2.77"/>
    <n v="0.12"/>
    <n v="4.6100000000000003"/>
    <n v="0.57999999999999996"/>
    <n v="0.04"/>
    <n v="0.33"/>
    <n v="0.06"/>
    <n v="0.06"/>
    <n v="1.08"/>
    <n v="-3.53"/>
    <n v="2.66"/>
    <n v="4.28"/>
    <s v="6"/>
  </r>
  <r>
    <x v="21"/>
    <s v="Asia-Pacific"/>
    <n v="4.46"/>
    <n v="0.91"/>
    <n v="37488.300000000003"/>
    <n v="0.63"/>
    <n v="0.23"/>
    <n v="1.08"/>
    <n v="2.84"/>
    <n v="0.7"/>
    <n v="5.6"/>
    <n v="0.51"/>
    <n v="2.7"/>
    <n v="5.95"/>
    <n v="0.86"/>
    <n v="0.13"/>
    <n v="10.14"/>
    <n v="4.54"/>
    <n v="3.23"/>
    <n v="0.55000000000000004"/>
    <s v="3B"/>
  </r>
  <r>
    <x v="22"/>
    <s v="Middle East/Central Asia"/>
    <n v="7.64"/>
    <n v="0.89"/>
    <n v="33718.9"/>
    <n v="0.89"/>
    <n v="0.22"/>
    <n v="0.36"/>
    <n v="4.59"/>
    <n v="7.0000000000000007E-2"/>
    <n v="6.22"/>
    <n v="0.22"/>
    <n v="0.01"/>
    <n v="0.03"/>
    <n v="0.02"/>
    <n v="0.08"/>
    <n v="0.35"/>
    <n v="-5.87"/>
    <n v="3.59"/>
    <n v="17.59"/>
    <s v="6"/>
  </r>
  <r>
    <x v="23"/>
    <s v="European Union"/>
    <n v="46.76"/>
    <n v="0.87"/>
    <n v="32008.7"/>
    <n v="0.78"/>
    <n v="0.15"/>
    <n v="0.17"/>
    <n v="2.2200000000000002"/>
    <n v="0.32"/>
    <n v="3.67"/>
    <n v="0.72"/>
    <n v="0.1"/>
    <n v="0.34"/>
    <n v="0.06"/>
    <n v="0.04"/>
    <n v="1.25"/>
    <n v="-2.42"/>
    <n v="2.12"/>
    <n v="2.94"/>
    <s v="6"/>
  </r>
  <r>
    <x v="24"/>
    <s v="European Union"/>
    <n v="1.1299999999999999"/>
    <n v="0.85"/>
    <n v="31454.7"/>
    <n v="0.77"/>
    <n v="0.08"/>
    <n v="0.23"/>
    <n v="2.94"/>
    <n v="0.14000000000000001"/>
    <n v="4.21"/>
    <n v="0.18"/>
    <n v="0"/>
    <n v="0.06"/>
    <n v="0.06"/>
    <n v="0.05"/>
    <n v="0.34"/>
    <n v="-3.87"/>
    <n v="2.4300000000000002"/>
    <n v="12.35"/>
    <s v="5"/>
  </r>
  <r>
    <x v="25"/>
    <s v="European Union"/>
    <n v="11.12"/>
    <n v="0.86"/>
    <n v="25987.4"/>
    <n v="1.07"/>
    <n v="0.35"/>
    <n v="0.24"/>
    <n v="2.58"/>
    <n v="0.08"/>
    <n v="4.38"/>
    <n v="1.01"/>
    <n v="0.14000000000000001"/>
    <n v="0.23"/>
    <n v="0.17"/>
    <n v="0.06"/>
    <n v="1.61"/>
    <n v="-2.77"/>
    <n v="2.5299999999999998"/>
    <n v="2.73"/>
    <s v="5"/>
  </r>
  <r>
    <x v="26"/>
    <s v="European Union"/>
    <n v="2.0699999999999998"/>
    <n v="0.88"/>
    <n v="25040.5"/>
    <n v="0.64"/>
    <n v="0.17"/>
    <n v="0.65"/>
    <n v="4.2699999999999996"/>
    <n v="0.05"/>
    <n v="5.81"/>
    <n v="0.37"/>
    <n v="7.0000000000000007E-2"/>
    <n v="1.87"/>
    <n v="0"/>
    <n v="0.04"/>
    <n v="2.35"/>
    <n v="-3.47"/>
    <n v="3.36"/>
    <n v="2.48"/>
    <s v="6"/>
  </r>
  <r>
    <x v="27"/>
    <s v="Middle East/Central Asia"/>
    <n v="1.32"/>
    <n v="0.82"/>
    <n v="24299"/>
    <n v="0.52"/>
    <n v="0.45"/>
    <n v="0.16"/>
    <n v="6.19"/>
    <n v="7.0000000000000007E-2"/>
    <n v="7.49"/>
    <n v="0.01"/>
    <n v="0"/>
    <n v="0"/>
    <n v="0.46"/>
    <n v="0.1"/>
    <n v="0.57999999999999996"/>
    <n v="-6.91"/>
    <n v="4.33"/>
    <n v="12.96"/>
    <s v="3L"/>
  </r>
  <r>
    <x v="28"/>
    <s v="Asia-Pacific"/>
    <n v="49"/>
    <n v="0.89"/>
    <n v="24155.8"/>
    <n v="0.71"/>
    <n v="0.12"/>
    <n v="0.21"/>
    <n v="4.17"/>
    <n v="0.41"/>
    <n v="5.69"/>
    <n v="0.13"/>
    <n v="0"/>
    <n v="0.09"/>
    <n v="0.4"/>
    <n v="0.06"/>
    <n v="0.68"/>
    <n v="-5.01"/>
    <n v="3.29"/>
    <n v="8.36"/>
    <s v="5"/>
  </r>
  <r>
    <x v="29"/>
    <s v="Africa"/>
    <n v="0.74"/>
    <n v="0.57999999999999996"/>
    <n v="24064"/>
    <n v="0.27"/>
    <n v="0.02"/>
    <n v="0.26"/>
    <n v="3.17"/>
    <n v="0.22"/>
    <n v="3.97"/>
    <n v="0.13"/>
    <n v="0.15"/>
    <n v="3.1"/>
    <n v="1.01"/>
    <n v="0.02"/>
    <n v="4.4000000000000004"/>
    <n v="0.44"/>
    <n v="2.29"/>
    <n v="0.9"/>
    <s v="3L"/>
  </r>
  <r>
    <x v="30"/>
    <s v="Middle East/Central Asia"/>
    <n v="28.29"/>
    <n v="0.83"/>
    <n v="23593.8"/>
    <n v="0.74"/>
    <n v="0.27"/>
    <n v="0.27"/>
    <n v="4.21"/>
    <n v="0.08"/>
    <n v="5.61"/>
    <n v="0.09"/>
    <n v="0.12"/>
    <n v="7.0000000000000007E-2"/>
    <n v="0.18"/>
    <n v="0.04"/>
    <n v="0.5"/>
    <n v="-5.12"/>
    <n v="3.24"/>
    <n v="11.28"/>
    <s v="3L"/>
  </r>
  <r>
    <x v="31"/>
    <s v="European Union"/>
    <n v="10.6"/>
    <n v="0.83"/>
    <n v="23217.3"/>
    <n v="1.03"/>
    <n v="0.25"/>
    <n v="0.09"/>
    <n v="2.15"/>
    <n v="0.31"/>
    <n v="3.88"/>
    <n v="0.47"/>
    <n v="0.06"/>
    <n v="0.85"/>
    <n v="7.0000000000000007E-2"/>
    <n v="0.05"/>
    <n v="1.51"/>
    <n v="-2.37"/>
    <n v="2.2400000000000002"/>
    <n v="2.57"/>
    <s v="5"/>
  </r>
  <r>
    <x v="32"/>
    <s v="Latin America"/>
    <n v="0.37"/>
    <n v="0.78"/>
    <n v="22647.3"/>
    <n v="0.97"/>
    <n v="1.05"/>
    <n v="0.19"/>
    <n v="4.46"/>
    <n v="0.14000000000000001"/>
    <n v="6.84"/>
    <n v="0.05"/>
    <n v="0"/>
    <n v="1.18"/>
    <n v="8.27"/>
    <n v="0.04"/>
    <n v="9.5500000000000007"/>
    <n v="2.71"/>
    <n v="3.95"/>
    <n v="0.72"/>
    <s v="3L"/>
  </r>
  <r>
    <x v="33"/>
    <s v="Middle East/Central Asia"/>
    <n v="3.31"/>
    <n v="0.79"/>
    <n v="22622.799999999999"/>
    <n v="0.56999999999999995"/>
    <n v="0.4"/>
    <n v="0.15"/>
    <n v="5.8"/>
    <n v="0.4"/>
    <n v="7.52"/>
    <n v="7.0000000000000007E-2"/>
    <n v="0.04"/>
    <n v="0"/>
    <n v="1.61"/>
    <n v="0.19"/>
    <n v="1.92"/>
    <n v="-5.6"/>
    <n v="4.34"/>
    <n v="3.93"/>
    <s v="3B"/>
  </r>
  <r>
    <x v="34"/>
    <s v="European Union"/>
    <n v="10.66"/>
    <n v="0.87"/>
    <n v="21676.3"/>
    <n v="0.62"/>
    <n v="0.24"/>
    <n v="0.74"/>
    <n v="3.42"/>
    <n v="0.03"/>
    <n v="5.19"/>
    <n v="0.94"/>
    <n v="7.0000000000000007E-2"/>
    <n v="1.31"/>
    <n v="0"/>
    <n v="0.13"/>
    <n v="2.46"/>
    <n v="-2.73"/>
    <n v="3"/>
    <n v="2.11"/>
    <s v="5"/>
  </r>
  <r>
    <x v="35"/>
    <s v="Latin America"/>
    <n v="1.34"/>
    <n v="0.77"/>
    <n v="18310.8"/>
    <n v="0.46"/>
    <n v="0.19"/>
    <n v="0.27"/>
    <n v="6.89"/>
    <n v="0.11"/>
    <n v="7.92"/>
    <n v="0.04"/>
    <n v="0.01"/>
    <n v="0.15"/>
    <n v="1.37"/>
    <n v="0"/>
    <n v="1.56"/>
    <n v="-6.36"/>
    <n v="4.57"/>
    <n v="5.07"/>
    <s v="3B"/>
  </r>
  <r>
    <x v="36"/>
    <s v="European Union"/>
    <n v="5.45"/>
    <n v="0.84"/>
    <n v="18103.099999999999"/>
    <n v="0.31"/>
    <n v="0.08"/>
    <n v="0.72"/>
    <n v="2.82"/>
    <n v="0.03"/>
    <n v="4.0599999999999996"/>
    <n v="0.71"/>
    <n v="0.06"/>
    <n v="1.85"/>
    <n v="0"/>
    <n v="0.09"/>
    <n v="2.71"/>
    <n v="-1.35"/>
    <n v="2.35"/>
    <n v="1.5"/>
    <s v="5"/>
  </r>
  <r>
    <x v="37"/>
    <s v="Latin America"/>
    <n v="0.28000000000000003"/>
    <n v="0.79"/>
    <n v="15722.8"/>
    <n v="0.56000000000000005"/>
    <n v="0.24"/>
    <n v="0.14000000000000001"/>
    <n v="3.28"/>
    <n v="0.22"/>
    <n v="4.4800000000000004"/>
    <n v="0.08"/>
    <n v="0"/>
    <n v="0.02"/>
    <n v="0.04"/>
    <n v="0.04"/>
    <n v="0.19"/>
    <n v="-4.29"/>
    <n v="2.58"/>
    <n v="23.79"/>
    <s v="5"/>
  </r>
  <r>
    <x v="38"/>
    <s v="Latin America"/>
    <n v="17.46"/>
    <n v="0.83"/>
    <n v="14525.8"/>
    <n v="0.61"/>
    <n v="0.33"/>
    <n v="0.99"/>
    <n v="2.04"/>
    <n v="0.25"/>
    <n v="4.3600000000000003"/>
    <n v="0.47"/>
    <n v="0.45"/>
    <n v="2.19"/>
    <n v="0.38"/>
    <n v="0.15"/>
    <n v="3.63"/>
    <n v="-0.73"/>
    <n v="2.52"/>
    <n v="1.2"/>
    <s v="6"/>
  </r>
  <r>
    <x v="39"/>
    <s v="Northern/Eastern Europe"/>
    <n v="4.3099999999999996"/>
    <n v="0.82"/>
    <n v="14522.8"/>
    <n v="0.74"/>
    <n v="0.13"/>
    <n v="0.72"/>
    <n v="2.21"/>
    <n v="0.06"/>
    <n v="3.92"/>
    <n v="0.68"/>
    <n v="0.19"/>
    <n v="1.55"/>
    <n v="0.33"/>
    <n v="0.06"/>
    <n v="2.8"/>
    <n v="-1.1200000000000001"/>
    <n v="2.27"/>
    <n v="1.4"/>
    <s v="6"/>
  </r>
  <r>
    <x v="40"/>
    <s v="European Union"/>
    <n v="3.03"/>
    <n v="0.83"/>
    <n v="14373.7"/>
    <n v="1.89"/>
    <n v="0.21"/>
    <n v="1.28"/>
    <n v="2.15"/>
    <n v="0.16"/>
    <n v="5.83"/>
    <n v="3.03"/>
    <n v="0.11"/>
    <n v="2.09"/>
    <n v="0.3"/>
    <n v="0.15"/>
    <n v="5.67"/>
    <n v="-0.17"/>
    <n v="3.37"/>
    <n v="1.03"/>
    <s v="5"/>
  </r>
  <r>
    <x v="41"/>
    <s v="Latin America"/>
    <n v="3.4"/>
    <n v="0.79"/>
    <n v="14238.1"/>
    <n v="0.19"/>
    <n v="0.98"/>
    <n v="0.55000000000000004"/>
    <n v="0.98"/>
    <n v="0.05"/>
    <n v="2.91"/>
    <n v="1.89"/>
    <n v="4.8600000000000003"/>
    <n v="1.22"/>
    <n v="2.1800000000000002"/>
    <n v="0.17"/>
    <n v="10.32"/>
    <n v="7.41"/>
    <n v="1.68"/>
    <n v="0.28000000000000003"/>
    <s v="3B"/>
  </r>
  <r>
    <x v="42"/>
    <s v="European Union"/>
    <n v="9.98"/>
    <n v="0.82"/>
    <n v="13964.2"/>
    <n v="0.42"/>
    <n v="0.08"/>
    <n v="0.36"/>
    <n v="1.9"/>
    <n v="0.02"/>
    <n v="2.92"/>
    <n v="1.28"/>
    <n v="0.06"/>
    <n v="0.69"/>
    <n v="0"/>
    <n v="0.13"/>
    <n v="2.17"/>
    <n v="-0.75"/>
    <n v="1.69"/>
    <n v="1.34"/>
    <s v="5"/>
  </r>
  <r>
    <x v="43"/>
    <s v="European Union"/>
    <n v="38.21"/>
    <n v="0.84"/>
    <n v="13769.5"/>
    <n v="0.84"/>
    <n v="0.04"/>
    <n v="0.78"/>
    <n v="2.64"/>
    <n v="0.05"/>
    <n v="4.4400000000000004"/>
    <n v="1.05"/>
    <n v="7.0000000000000007E-2"/>
    <n v="0.77"/>
    <n v="0.11"/>
    <n v="0.09"/>
    <n v="2.08"/>
    <n v="-2.36"/>
    <n v="2.57"/>
    <n v="2.14"/>
    <s v="6"/>
  </r>
  <r>
    <x v="44"/>
    <s v="European Union"/>
    <n v="2.06"/>
    <n v="0.81"/>
    <n v="13732"/>
    <n v="2.2799999999999998"/>
    <n v="0.09"/>
    <n v="2.02"/>
    <n v="1.66"/>
    <n v="0.11"/>
    <n v="6.29"/>
    <n v="3.1"/>
    <n v="0.31"/>
    <n v="4.08"/>
    <n v="1.93"/>
    <n v="0.13"/>
    <n v="9.5500000000000007"/>
    <n v="3.26"/>
    <n v="3.63"/>
    <n v="0.66"/>
    <s v="5"/>
  </r>
  <r>
    <x v="45"/>
    <s v="Latin America"/>
    <n v="41.09"/>
    <n v="0.83"/>
    <n v="13540"/>
    <n v="0.78"/>
    <n v="0.79"/>
    <n v="0.28999999999999998"/>
    <n v="1.08"/>
    <n v="0.1"/>
    <n v="3.14"/>
    <n v="2.64"/>
    <n v="1.86"/>
    <n v="0.66"/>
    <n v="1.67"/>
    <n v="0.1"/>
    <n v="6.92"/>
    <n v="3.78"/>
    <n v="1.82"/>
    <n v="0.45"/>
    <s v="6"/>
  </r>
  <r>
    <x v="46"/>
    <s v="Northern/Eastern Europe"/>
    <n v="143.16999999999999"/>
    <n v="0.79"/>
    <n v="13320.2"/>
    <n v="0.77"/>
    <n v="0.15"/>
    <n v="0.67"/>
    <n v="3.87"/>
    <n v="0.19"/>
    <n v="5.69"/>
    <n v="0.85"/>
    <n v="0.34"/>
    <n v="4.38"/>
    <n v="1.19"/>
    <n v="0.03"/>
    <n v="6.79"/>
    <n v="1.1000000000000001"/>
    <n v="3.29"/>
    <n v="0.84"/>
    <s v="6"/>
  </r>
  <r>
    <x v="47"/>
    <s v="Latin America"/>
    <n v="198.66"/>
    <n v="0.75"/>
    <n v="13237.6"/>
    <n v="0.62"/>
    <n v="0.85"/>
    <n v="0.6"/>
    <n v="0.91"/>
    <n v="0.04"/>
    <n v="3.11"/>
    <n v="1"/>
    <n v="1"/>
    <n v="6.82"/>
    <n v="0.17"/>
    <n v="0.09"/>
    <n v="9.08"/>
    <n v="5.97"/>
    <n v="1.8"/>
    <n v="0.34"/>
    <s v="5"/>
  </r>
  <r>
    <x v="48"/>
    <s v="Latin America"/>
    <n v="0.05"/>
    <n v="0.74"/>
    <n v="12952.5"/>
    <n v="0.51"/>
    <n v="0.18"/>
    <n v="0.09"/>
    <n v="3.34"/>
    <n v="0.81"/>
    <n v="4.9400000000000004"/>
    <n v="0.06"/>
    <n v="0.01"/>
    <n v="0.17"/>
    <n v="0.38"/>
    <n v="0"/>
    <n v="0.62"/>
    <n v="-4.3099999999999996"/>
    <n v="2.85"/>
    <n v="7.92"/>
    <s v="3L"/>
  </r>
  <r>
    <x v="49"/>
    <s v="Africa"/>
    <n v="1.63"/>
    <n v="0.67"/>
    <n v="11989"/>
    <n v="0.53"/>
    <n v="0.13"/>
    <n v="0.79"/>
    <n v="0.43"/>
    <n v="0.11"/>
    <n v="2.02"/>
    <n v="0.25"/>
    <n v="3.6"/>
    <n v="19.5"/>
    <n v="2.93"/>
    <n v="0.03"/>
    <n v="26.31"/>
    <n v="24.29"/>
    <n v="1.1599999999999999"/>
    <n v="0.08"/>
    <s v="3L"/>
  </r>
  <r>
    <x v="50"/>
    <s v="Middle East/Central Asia"/>
    <n v="16.27"/>
    <n v="0.78"/>
    <n v="11278"/>
    <n v="0.57999999999999996"/>
    <n v="0.19"/>
    <n v="0.12"/>
    <n v="4.59"/>
    <n v="0.03"/>
    <n v="5.55"/>
    <n v="1.1399999999999999"/>
    <n v="1.93"/>
    <n v="0.24"/>
    <n v="0.06"/>
    <n v="0.03"/>
    <n v="3.41"/>
    <n v="-2.14"/>
    <n v="3.2"/>
    <n v="1.63"/>
    <s v="3L"/>
  </r>
  <r>
    <x v="51"/>
    <s v="Middle East/Central Asia"/>
    <n v="74"/>
    <n v="0.76"/>
    <n v="10437.700000000001"/>
    <n v="0.87"/>
    <n v="0.12"/>
    <n v="0.34"/>
    <n v="1.92"/>
    <n v="0.04"/>
    <n v="3.33"/>
    <n v="0.75"/>
    <n v="0.09"/>
    <n v="0.6"/>
    <n v="0.04"/>
    <n v="0.04"/>
    <n v="1.52"/>
    <n v="-1.81"/>
    <n v="1.92"/>
    <n v="2.19"/>
    <s v="5"/>
  </r>
  <r>
    <x v="52"/>
    <s v="Asia-Pacific"/>
    <n v="29.24"/>
    <n v="0.77"/>
    <n v="10252.6"/>
    <n v="0.67"/>
    <n v="0.12"/>
    <n v="0.38"/>
    <n v="2.1"/>
    <n v="0.36"/>
    <n v="3.71"/>
    <n v="0.75"/>
    <n v="0.01"/>
    <n v="0.73"/>
    <n v="0.84"/>
    <n v="7.0000000000000007E-2"/>
    <n v="2.41"/>
    <n v="-1.3"/>
    <n v="2.14"/>
    <n v="1.54"/>
    <s v="3B"/>
  </r>
  <r>
    <x v="53"/>
    <s v="Latin America"/>
    <n v="29.96"/>
    <n v="0.76384600000000002"/>
    <n v="10237.799999999999"/>
    <n v="0.45"/>
    <n v="0.74"/>
    <n v="0.12"/>
    <n v="2.13"/>
    <n v="0.09"/>
    <n v="3.57"/>
    <n v="0.14000000000000001"/>
    <n v="0.56999999999999995"/>
    <n v="1.79"/>
    <n v="0.24"/>
    <n v="0.04"/>
    <n v="2.78"/>
    <n v="-0.79"/>
    <n v="2.06"/>
    <n v="1.28"/>
    <s v="5"/>
  </r>
  <r>
    <x v="54"/>
    <s v="Latin America"/>
    <n v="120.85"/>
    <n v="0.75"/>
    <n v="10123.9"/>
    <n v="0.55000000000000004"/>
    <n v="0.24"/>
    <n v="0.25"/>
    <n v="1.74"/>
    <n v="0.06"/>
    <n v="2.89"/>
    <n v="0.37"/>
    <n v="0.24"/>
    <n v="0.47"/>
    <n v="0.14000000000000001"/>
    <n v="0.05"/>
    <n v="1.27"/>
    <n v="-1.62"/>
    <n v="1.67"/>
    <n v="2.27"/>
    <s v="5"/>
  </r>
  <r>
    <x v="55"/>
    <s v="European Union"/>
    <n v="21.76"/>
    <n v="0.79"/>
    <n v="9213.94"/>
    <n v="0.72"/>
    <n v="0.05"/>
    <n v="0.33"/>
    <n v="1.46"/>
    <n v="0.03"/>
    <n v="2.71"/>
    <n v="0.87"/>
    <n v="0.11"/>
    <n v="1.1399999999999999"/>
    <n v="0.08"/>
    <n v="0.12"/>
    <n v="2.3199999999999998"/>
    <n v="-0.39"/>
    <n v="1.56"/>
    <n v="1.17"/>
    <s v="5"/>
  </r>
  <r>
    <x v="56"/>
    <s v="Middle East/Central Asia"/>
    <n v="4.6500000000000004"/>
    <n v="0.76"/>
    <n v="9143.86"/>
    <n v="0.67"/>
    <n v="0.3"/>
    <n v="0.25"/>
    <n v="2.52"/>
    <n v="0.05"/>
    <n v="3.84"/>
    <n v="0.16"/>
    <n v="0.04"/>
    <n v="0.06"/>
    <n v="0.01"/>
    <n v="0.06"/>
    <n v="0.33"/>
    <n v="-3.51"/>
    <n v="2.2200000000000002"/>
    <n v="11.7"/>
    <s v="6"/>
  </r>
  <r>
    <x v="57"/>
    <s v="Latin America"/>
    <n v="4.8"/>
    <n v="0.76"/>
    <n v="8979.9599999999991"/>
    <n v="0.4"/>
    <n v="0.21"/>
    <n v="0.68"/>
    <n v="1.37"/>
    <n v="0.08"/>
    <n v="2.84"/>
    <n v="0.38"/>
    <n v="0.3"/>
    <n v="0.63"/>
    <n v="0.12"/>
    <n v="0.1"/>
    <n v="1.53"/>
    <n v="-1.31"/>
    <n v="1.64"/>
    <n v="1.86"/>
    <s v="5"/>
  </r>
  <r>
    <x v="58"/>
    <s v="Africa"/>
    <n v="1.24"/>
    <n v="0.77"/>
    <n v="8811.15"/>
    <n v="0.52"/>
    <n v="0.22"/>
    <n v="0.18"/>
    <n v="1.99"/>
    <n v="0.55000000000000004"/>
    <n v="3.46"/>
    <n v="0.14000000000000001"/>
    <n v="0"/>
    <n v="0.01"/>
    <n v="0.56000000000000005"/>
    <n v="0"/>
    <n v="0.71"/>
    <n v="-2.75"/>
    <n v="2"/>
    <n v="4.8899999999999997"/>
    <s v="5"/>
  </r>
  <r>
    <x v="59"/>
    <s v="Latin America"/>
    <n v="3.8"/>
    <n v="0.77"/>
    <n v="8410.77"/>
    <n v="0.36"/>
    <n v="0.4"/>
    <n v="0.19"/>
    <n v="1.44"/>
    <n v="0.37"/>
    <n v="2.79"/>
    <n v="0.14000000000000001"/>
    <n v="0.43"/>
    <n v="1.74"/>
    <n v="0.6"/>
    <n v="0.02"/>
    <n v="2.94"/>
    <n v="0.15"/>
    <n v="1.61"/>
    <n v="0.95"/>
    <s v="3B"/>
  </r>
  <r>
    <x v="60"/>
    <s v="Latin America"/>
    <n v="0.54"/>
    <n v="0.71"/>
    <n v="8190.7"/>
    <n v="0.43"/>
    <n v="0.06"/>
    <n v="0.52"/>
    <n v="3.01"/>
    <n v="0.14000000000000001"/>
    <n v="4.25"/>
    <n v="0.3"/>
    <n v="0.03"/>
    <n v="81.52"/>
    <n v="7.39"/>
    <n v="0.09"/>
    <n v="89.33"/>
    <n v="85.08"/>
    <n v="2.46"/>
    <n v="0.05"/>
    <s v="3L"/>
  </r>
  <r>
    <x v="61"/>
    <s v="Africa"/>
    <n v="52.39"/>
    <n v="0.66"/>
    <n v="8089.87"/>
    <n v="0.44"/>
    <n v="0.11"/>
    <n v="0.28999999999999998"/>
    <n v="2.34"/>
    <n v="0.08"/>
    <n v="3.31"/>
    <n v="0.35"/>
    <n v="0.57999999999999996"/>
    <n v="0.02"/>
    <n v="0.17"/>
    <n v="0.04"/>
    <n v="1.1499999999999999"/>
    <n v="-2.16"/>
    <n v="1.91"/>
    <n v="2.87"/>
    <s v="5"/>
  </r>
  <r>
    <x v="62"/>
    <s v="Africa"/>
    <n v="2"/>
    <n v="0.69"/>
    <n v="7743.5"/>
    <n v="0.3"/>
    <n v="0.89"/>
    <n v="0.24"/>
    <n v="2.36"/>
    <n v="0.01"/>
    <n v="3.83"/>
    <n v="0.06"/>
    <n v="2.4900000000000002"/>
    <n v="0.63"/>
    <n v="0.27"/>
    <n v="0.02"/>
    <n v="3.47"/>
    <n v="-0.35"/>
    <n v="2.21"/>
    <n v="1.1000000000000001"/>
    <s v="3B"/>
  </r>
  <r>
    <x v="63"/>
    <s v="Latin America"/>
    <n v="0.18"/>
    <n v="0.73"/>
    <n v="7737.2"/>
    <n v="0.38"/>
    <n v="0.1"/>
    <n v="0.17"/>
    <n v="1.56"/>
    <n v="0.23"/>
    <n v="2.4500000000000002"/>
    <n v="0.1"/>
    <n v="0"/>
    <n v="0.1"/>
    <n v="0.14000000000000001"/>
    <n v="0"/>
    <n v="0.34"/>
    <n v="-2.1"/>
    <n v="1.41"/>
    <n v="7.12"/>
    <s v="3B"/>
  </r>
  <r>
    <x v="64"/>
    <s v="European Union"/>
    <n v="7.28"/>
    <n v="0.78"/>
    <n v="7615.28"/>
    <n v="0.6"/>
    <n v="0.13"/>
    <n v="0.35"/>
    <n v="2.08"/>
    <n v="0.03"/>
    <n v="3.32"/>
    <n v="1.33"/>
    <n v="0.08"/>
    <n v="1.2"/>
    <n v="0.12"/>
    <n v="0.13"/>
    <n v="2.86"/>
    <n v="-0.46"/>
    <n v="1.92"/>
    <n v="1.1599999999999999"/>
    <s v="5"/>
  </r>
  <r>
    <x v="65"/>
    <s v="Middle East/Central Asia"/>
    <n v="76.42"/>
    <n v="0.76"/>
    <n v="7511.1"/>
    <n v="0.69"/>
    <n v="0.09"/>
    <n v="7.0000000000000007E-2"/>
    <n v="1.72"/>
    <n v="0.12"/>
    <n v="2.79"/>
    <n v="0.48"/>
    <n v="7.0000000000000007E-2"/>
    <n v="0.06"/>
    <n v="0.19"/>
    <n v="0.09"/>
    <n v="0.9"/>
    <n v="-1.89"/>
    <n v="1.61"/>
    <n v="3.1"/>
    <s v="3B"/>
  </r>
  <r>
    <x v="66"/>
    <s v="Latin America"/>
    <n v="47.7"/>
    <n v="0.72"/>
    <n v="7305.22"/>
    <n v="0.35"/>
    <n v="0.57999999999999996"/>
    <n v="0.16"/>
    <n v="0.67"/>
    <n v="0.03"/>
    <n v="1.87"/>
    <n v="0.22"/>
    <n v="1.1299999999999999"/>
    <n v="2.09"/>
    <n v="7.0000000000000007E-2"/>
    <n v="0.09"/>
    <n v="3.6"/>
    <n v="1.72"/>
    <n v="1.08"/>
    <n v="0.52"/>
    <s v="6"/>
  </r>
  <r>
    <x v="67"/>
    <s v="Northern/Eastern Europe"/>
    <n v="0.62"/>
    <n v="0.8"/>
    <n v="7251.6"/>
    <n v="0.64"/>
    <n v="0.33"/>
    <n v="0.62"/>
    <n v="2.13"/>
    <n v="0.05"/>
    <n v="3.78"/>
    <n v="0.14000000000000001"/>
    <n v="0.22"/>
    <n v="2.63"/>
    <n v="0.24"/>
    <n v="0.01"/>
    <n v="3.24"/>
    <n v="-0.54"/>
    <n v="2.19"/>
    <n v="1.17"/>
    <s v="5"/>
  </r>
  <r>
    <x v="68"/>
    <s v="Middle East/Central Asia"/>
    <n v="9.31"/>
    <n v="0.75"/>
    <n v="7106.04"/>
    <n v="0.66"/>
    <n v="0.22"/>
    <n v="0.11"/>
    <n v="1.25"/>
    <n v="0.01"/>
    <n v="2.31"/>
    <n v="0.46"/>
    <n v="0.2"/>
    <n v="0.11"/>
    <n v="0.02"/>
    <n v="0.06"/>
    <n v="0.85"/>
    <n v="-1.46"/>
    <n v="1.33"/>
    <n v="2.72"/>
    <s v="6"/>
  </r>
  <r>
    <x v="69"/>
    <s v="Latin America"/>
    <n v="7.0000000000000007E-2"/>
    <n v="0.72"/>
    <n v="7088.01"/>
    <n v="0.64"/>
    <n v="0.15"/>
    <n v="0.14000000000000001"/>
    <n v="1.47"/>
    <n v="0.17"/>
    <n v="2.57"/>
    <n v="0.4"/>
    <n v="0.01"/>
    <n v="0.52"/>
    <n v="0.1"/>
    <n v="0"/>
    <n v="1.03"/>
    <n v="-1.54"/>
    <n v="1.49"/>
    <n v="2.4900000000000002"/>
    <s v="5"/>
  </r>
  <r>
    <x v="70"/>
    <s v="Northern/Eastern Europe"/>
    <n v="9.5500000000000007"/>
    <n v="0.76"/>
    <n v="6426.18"/>
    <n v="0.49"/>
    <n v="0.02"/>
    <n v="0.46"/>
    <n v="1.66"/>
    <n v="0.02"/>
    <n v="2.7"/>
    <n v="0.73"/>
    <n v="0.02"/>
    <n v="0.46"/>
    <n v="0"/>
    <n v="0.04"/>
    <n v="1.25"/>
    <n v="-1.44"/>
    <n v="1.56"/>
    <n v="2.15"/>
    <s v="5"/>
  </r>
  <r>
    <x v="71"/>
    <s v="Northern/Eastern Europe"/>
    <n v="9.4"/>
    <n v="0.8"/>
    <n v="6300.45"/>
    <n v="1.32"/>
    <n v="0.12"/>
    <n v="0.91"/>
    <n v="2.57"/>
    <n v="0.08"/>
    <n v="5.09"/>
    <n v="1.52"/>
    <n v="0.3"/>
    <n v="1.71"/>
    <n v="0.02"/>
    <n v="0.09"/>
    <n v="3.64"/>
    <n v="-1.45"/>
    <n v="2.94"/>
    <n v="1.4"/>
    <s v="6"/>
  </r>
  <r>
    <x v="72"/>
    <s v="Latin America"/>
    <n v="10.28"/>
    <n v="0.71"/>
    <n v="6085.89"/>
    <n v="0.35"/>
    <n v="0.12"/>
    <n v="0.12"/>
    <n v="0.86"/>
    <n v="0.04"/>
    <n v="1.53"/>
    <n v="0.22"/>
    <n v="0.11"/>
    <n v="0.16"/>
    <n v="0.02"/>
    <n v="0.05"/>
    <n v="0.56000000000000005"/>
    <n v="-0.97"/>
    <n v="0.88"/>
    <n v="2.74"/>
    <s v="6"/>
  </r>
  <r>
    <x v="73"/>
    <s v="Africa"/>
    <n v="2.2599999999999998"/>
    <n v="0.62"/>
    <n v="5880.8"/>
    <n v="0.33"/>
    <n v="0.23"/>
    <n v="0.17"/>
    <n v="1.02"/>
    <n v="0.72"/>
    <n v="2.48"/>
    <n v="0.14000000000000001"/>
    <n v="1.6"/>
    <n v="0.36"/>
    <n v="4.76"/>
    <n v="0.02"/>
    <n v="6.88"/>
    <n v="4.4000000000000004"/>
    <n v="1.43"/>
    <n v="0.36"/>
    <s v="3L"/>
  </r>
  <r>
    <x v="74"/>
    <s v="Africa"/>
    <n v="6.16"/>
    <n v="0.74"/>
    <n v="5859.43"/>
    <n v="0.79"/>
    <n v="0.32"/>
    <n v="0.14000000000000001"/>
    <n v="2.33"/>
    <n v="0.1"/>
    <n v="3.69"/>
    <n v="0.17"/>
    <n v="0.23"/>
    <n v="0.02"/>
    <n v="0.25"/>
    <n v="0.02"/>
    <n v="0.7"/>
    <n v="-3"/>
    <n v="2.13"/>
    <n v="5.3"/>
    <s v="3B"/>
  </r>
  <r>
    <x v="75"/>
    <s v="Middle East/Central Asia"/>
    <n v="32.78"/>
    <n v="0.65"/>
    <n v="5848.54"/>
    <n v="0.43"/>
    <n v="0.03"/>
    <n v="0.01"/>
    <n v="1.36"/>
    <n v="0.01"/>
    <n v="1.88"/>
    <n v="0.18"/>
    <n v="0.02"/>
    <n v="0.05"/>
    <n v="0"/>
    <n v="0.04"/>
    <n v="0.28999999999999998"/>
    <n v="-1.59"/>
    <n v="1.0900000000000001"/>
    <n v="6.58"/>
    <s v="3B"/>
  </r>
  <r>
    <x v="76"/>
    <s v="Latin America"/>
    <n v="29.99"/>
    <n v="0.73"/>
    <n v="5684.73"/>
    <n v="0.5"/>
    <n v="0.51"/>
    <n v="0.19"/>
    <n v="0.67"/>
    <n v="0.33"/>
    <n v="2.2799999999999998"/>
    <n v="0.36"/>
    <n v="0.51"/>
    <n v="2.82"/>
    <n v="0.2"/>
    <n v="7.0000000000000007E-2"/>
    <n v="3.97"/>
    <n v="1.69"/>
    <n v="1.32"/>
    <n v="0.56999999999999995"/>
    <s v="6"/>
  </r>
  <r>
    <x v="77"/>
    <s v="Asia-Pacific"/>
    <n v="1408.04"/>
    <n v="0.72"/>
    <n v="5560.94"/>
    <n v="0.55000000000000004"/>
    <n v="0.13"/>
    <n v="0.19"/>
    <n v="2.3199999999999998"/>
    <n v="0.08"/>
    <n v="3.38"/>
    <n v="0.46"/>
    <n v="0.1"/>
    <n v="0.22"/>
    <n v="0.04"/>
    <n v="0.12"/>
    <n v="0.94"/>
    <n v="-2.44"/>
    <n v="1.95"/>
    <n v="3.59"/>
    <s v="6"/>
  </r>
  <r>
    <x v="78"/>
    <s v="Asia-Pacific"/>
    <n v="66.78"/>
    <n v="0.72"/>
    <n v="5479.29"/>
    <n v="0.67"/>
    <n v="0.02"/>
    <n v="0.24"/>
    <n v="1.54"/>
    <n v="0.13"/>
    <n v="2.66"/>
    <n v="0.77"/>
    <n v="0.01"/>
    <n v="0.2"/>
    <n v="0.19"/>
    <n v="7.0000000000000007E-2"/>
    <n v="1.24"/>
    <n v="-1.42"/>
    <n v="1.54"/>
    <n v="2.14"/>
    <s v="6"/>
  </r>
  <r>
    <x v="79"/>
    <s v="Africa"/>
    <n v="38.479999999999997"/>
    <n v="0.73"/>
    <n v="5430.57"/>
    <n v="0.6"/>
    <n v="0.16"/>
    <n v="0.17"/>
    <n v="1.1399999999999999"/>
    <n v="0.01"/>
    <n v="2.12"/>
    <n v="0.24"/>
    <n v="0.27"/>
    <n v="0.03"/>
    <n v="0.01"/>
    <n v="0.03"/>
    <n v="0.59"/>
    <n v="-1.53"/>
    <n v="1.22"/>
    <n v="3.61"/>
    <s v="5"/>
  </r>
  <r>
    <x v="80"/>
    <s v="Middle East/Central Asia"/>
    <n v="5.17"/>
    <n v="0.68"/>
    <n v="5290.14"/>
    <n v="0.73"/>
    <n v="0.44"/>
    <n v="0.08"/>
    <n v="4.13"/>
    <n v="0.01"/>
    <n v="5.47"/>
    <n v="0.6"/>
    <n v="1.96"/>
    <n v="0.02"/>
    <n v="0.13"/>
    <n v="0.09"/>
    <n v="2.79"/>
    <n v="-2.68"/>
    <n v="3.16"/>
    <n v="1.96"/>
    <s v="6"/>
  </r>
  <r>
    <x v="81"/>
    <s v="Latin America"/>
    <n v="2.77"/>
    <n v="0.72"/>
    <n v="5226.3"/>
    <n v="0.41"/>
    <n v="0.09"/>
    <n v="0.18"/>
    <n v="1.0900000000000001"/>
    <n v="7.0000000000000007E-2"/>
    <n v="1.89"/>
    <n v="0.16"/>
    <n v="0"/>
    <n v="0.1"/>
    <n v="0.11"/>
    <n v="0.05"/>
    <n v="0.43"/>
    <n v="-1.46"/>
    <n v="1.0900000000000001"/>
    <n v="4.3899999999999997"/>
    <s v="3B"/>
  </r>
  <r>
    <x v="82"/>
    <s v="Latin America"/>
    <n v="15.49"/>
    <n v="0.73"/>
    <n v="5192.88"/>
    <n v="0.3"/>
    <n v="0.3"/>
    <n v="0.24"/>
    <n v="1.08"/>
    <n v="0.18"/>
    <n v="2.17"/>
    <n v="0.32"/>
    <n v="0.3"/>
    <n v="1.41"/>
    <n v="0.11"/>
    <n v="0.06"/>
    <n v="2.2000000000000002"/>
    <n v="0.03"/>
    <n v="1.25"/>
    <n v="0.99"/>
    <s v="5"/>
  </r>
  <r>
    <x v="83"/>
    <s v="Latin America"/>
    <n v="11.27"/>
    <n v="0.77"/>
    <n v="5175.9399999999996"/>
    <n v="0.48"/>
    <n v="0.11"/>
    <n v="0.09"/>
    <n v="1.23"/>
    <n v="0.02"/>
    <n v="1.95"/>
    <n v="0.26"/>
    <n v="0.09"/>
    <n v="0.23"/>
    <n v="0.16"/>
    <n v="0.03"/>
    <n v="0.76"/>
    <n v="-1.19"/>
    <n v="1.1299999999999999"/>
    <n v="2.56"/>
    <s v="6"/>
  </r>
  <r>
    <x v="84"/>
    <s v="Northern/Eastern Europe"/>
    <n v="2.11"/>
    <n v="0.74"/>
    <n v="5174.8900000000003"/>
    <n v="0.62"/>
    <n v="0.21"/>
    <n v="0.31"/>
    <n v="2.06"/>
    <n v="0.03"/>
    <n v="3.26"/>
    <n v="0.38"/>
    <n v="0.17"/>
    <n v="0.92"/>
    <n v="0.02"/>
    <n v="0.02"/>
    <n v="1.51"/>
    <n v="-1.75"/>
    <n v="1.88"/>
    <n v="2.16"/>
    <s v="6"/>
  </r>
  <r>
    <x v="85"/>
    <s v="Asia-Pacific"/>
    <n v="1.1100000000000001"/>
    <n v="0.6"/>
    <n v="5167.8599999999997"/>
    <n v="0.25"/>
    <n v="7.0000000000000007E-2"/>
    <n v="0.04"/>
    <n v="0.06"/>
    <n v="0.02"/>
    <n v="0.48"/>
    <n v="0.21"/>
    <n v="0.06"/>
    <n v="0.52"/>
    <n v="0.94"/>
    <n v="0.04"/>
    <n v="1.78"/>
    <n v="1.3"/>
    <n v="0.28000000000000003"/>
    <n v="0.27"/>
    <s v="3B"/>
  </r>
  <r>
    <x v="86"/>
    <s v="Northern/Eastern Europe"/>
    <n v="3.83"/>
    <n v="0.73"/>
    <n v="4708.8500000000004"/>
    <n v="0.63"/>
    <n v="0.27"/>
    <n v="0.44"/>
    <n v="1.74"/>
    <n v="0.02"/>
    <n v="3.12"/>
    <n v="0.3"/>
    <n v="0.19"/>
    <n v="1.1299999999999999"/>
    <n v="0"/>
    <n v="0.02"/>
    <n v="1.63"/>
    <n v="-1.49"/>
    <n v="1.8"/>
    <n v="1.91"/>
    <s v="5"/>
  </r>
  <r>
    <x v="87"/>
    <s v="Africa"/>
    <n v="20.82"/>
    <n v="0.52"/>
    <n v="4665.91"/>
    <n v="0.33"/>
    <n v="0.15"/>
    <n v="0.12"/>
    <n v="0.2"/>
    <n v="0.09"/>
    <n v="0.93"/>
    <n v="0.2"/>
    <n v="1.42"/>
    <n v="0.64"/>
    <n v="0.26"/>
    <n v="0.04"/>
    <n v="2.5499999999999998"/>
    <n v="1.61"/>
    <n v="0.54"/>
    <n v="0.37"/>
    <s v="6"/>
  </r>
  <r>
    <x v="88"/>
    <s v="Africa"/>
    <n v="1.23"/>
    <n v="0.53"/>
    <n v="4657.4799999999996"/>
    <n v="0.35"/>
    <n v="0.41"/>
    <n v="0.52"/>
    <n v="0.67"/>
    <n v="0.01"/>
    <n v="2.0099999999999998"/>
    <n v="0.25"/>
    <n v="0.51"/>
    <n v="0.05"/>
    <n v="0"/>
    <n v="0.06"/>
    <n v="0.88"/>
    <n v="-1.1399999999999999"/>
    <n v="1.1599999999999999"/>
    <n v="2.2999999999999998"/>
    <s v="3L"/>
  </r>
  <r>
    <x v="89"/>
    <s v="Middle East/Central Asia"/>
    <n v="7.01"/>
    <n v="0.75"/>
    <n v="4615.17"/>
    <n v="0.54"/>
    <n v="0.18"/>
    <n v="0.17"/>
    <n v="1.0900000000000001"/>
    <n v="0.03"/>
    <n v="2.1"/>
    <n v="0.09"/>
    <n v="0.02"/>
    <n v="0.03"/>
    <n v="0"/>
    <n v="7.0000000000000007E-2"/>
    <n v="0.21"/>
    <n v="-1.89"/>
    <n v="1.21"/>
    <n v="9.91"/>
    <s v="5"/>
  </r>
  <r>
    <x v="90"/>
    <s v="Northern/Eastern Europe"/>
    <n v="3.16"/>
    <n v="0.73"/>
    <n v="4534.37"/>
    <n v="0.78"/>
    <n v="0.22"/>
    <n v="0.25"/>
    <n v="0.87"/>
    <n v="0.02"/>
    <n v="2.21"/>
    <n v="0.55000000000000004"/>
    <n v="0.21"/>
    <n v="0.28999999999999998"/>
    <n v="7.0000000000000007E-2"/>
    <n v="0.06"/>
    <n v="1.18"/>
    <n v="-1.03"/>
    <n v="1.27"/>
    <n v="1.87"/>
    <s v="6"/>
  </r>
  <r>
    <x v="91"/>
    <s v="Asia-Pacific"/>
    <n v="0.1"/>
    <n v="0.72"/>
    <n v="4330.8999999999996"/>
    <n v="1.19"/>
    <n v="0.32"/>
    <n v="0.14000000000000001"/>
    <n v="0.88"/>
    <n v="0.18"/>
    <n v="2.7"/>
    <n v="0.83"/>
    <n v="0.02"/>
    <n v="0.11"/>
    <n v="0.52"/>
    <n v="0"/>
    <n v="1.48"/>
    <n v="-1.22"/>
    <n v="1.56"/>
    <n v="1.82"/>
    <s v="3B"/>
  </r>
  <r>
    <x v="92"/>
    <s v="Africa"/>
    <n v="10.88"/>
    <n v="0.72"/>
    <n v="4305.07"/>
    <n v="0.76"/>
    <n v="0.09"/>
    <n v="0.28000000000000003"/>
    <n v="1.1100000000000001"/>
    <n v="0.06"/>
    <n v="2.34"/>
    <n v="0.53"/>
    <n v="0.08"/>
    <n v="0.05"/>
    <n v="0.24"/>
    <n v="0.04"/>
    <n v="0.93"/>
    <n v="-1.4"/>
    <n v="1.35"/>
    <n v="2.5099999999999998"/>
    <s v="5"/>
  </r>
  <r>
    <x v="93"/>
    <s v="Asia-Pacific"/>
    <n v="0.88"/>
    <n v="0.72"/>
    <n v="4201.37"/>
    <n v="0.55000000000000004"/>
    <n v="0.2"/>
    <n v="0.42"/>
    <n v="1.06"/>
    <n v="0.62"/>
    <n v="2.9"/>
    <n v="0.28000000000000003"/>
    <n v="0.09"/>
    <n v="1.3"/>
    <n v="0.65"/>
    <n v="0.04"/>
    <n v="2.37"/>
    <n v="-0.52"/>
    <n v="1.67"/>
    <n v="1.22"/>
    <s v="5"/>
  </r>
  <r>
    <x v="94"/>
    <s v="Asia-Pacific"/>
    <n v="0.19"/>
    <n v="0.7"/>
    <n v="4067.15"/>
    <n v="0.97"/>
    <n v="0.16"/>
    <n v="0.27"/>
    <n v="0.96"/>
    <n v="0.42"/>
    <n v="2.77"/>
    <n v="0.69"/>
    <n v="0.01"/>
    <n v="1.17"/>
    <n v="0.06"/>
    <n v="0"/>
    <n v="1.93"/>
    <n v="-0.85"/>
    <n v="1.6"/>
    <n v="1.44"/>
    <s v="3B"/>
  </r>
  <r>
    <x v="95"/>
    <s v="Asia-Pacific"/>
    <n v="2.8"/>
    <n v="0.71"/>
    <n v="3736.07"/>
    <n v="0.28999999999999998"/>
    <n v="3.47"/>
    <n v="0.17"/>
    <n v="2.09"/>
    <n v="0"/>
    <n v="6.08"/>
    <n v="0.21"/>
    <n v="8.23"/>
    <n v="7.03"/>
    <n v="0.14000000000000001"/>
    <n v="0.05"/>
    <n v="15.66"/>
    <n v="9.58"/>
    <n v="3.51"/>
    <n v="0.39"/>
    <s v="3B"/>
  </r>
  <r>
    <x v="96"/>
    <s v="Middle East/Central Asia"/>
    <n v="4.3600000000000003"/>
    <n v="0.75"/>
    <n v="3710.7"/>
    <n v="0.39"/>
    <n v="0.2"/>
    <n v="0.1"/>
    <n v="0.83"/>
    <n v="0.02"/>
    <n v="1.58"/>
    <n v="0.12"/>
    <n v="0.36"/>
    <n v="0.61"/>
    <n v="0.05"/>
    <n v="0.04"/>
    <n v="1.17"/>
    <n v="-0.41"/>
    <n v="0.91"/>
    <n v="1.35"/>
    <s v="3B"/>
  </r>
  <r>
    <x v="97"/>
    <s v="Latin America"/>
    <n v="6.3"/>
    <n v="0.66"/>
    <n v="3696.33"/>
    <n v="0.44"/>
    <n v="0.21"/>
    <n v="0.4"/>
    <n v="0.84"/>
    <n v="0.14000000000000001"/>
    <n v="2.0699999999999998"/>
    <n v="0.27"/>
    <n v="0.15"/>
    <n v="0.04"/>
    <n v="0.11"/>
    <n v="0.05"/>
    <n v="0.61"/>
    <n v="-1.46"/>
    <n v="1.2"/>
    <n v="3.37"/>
    <s v="5"/>
  </r>
  <r>
    <x v="98"/>
    <s v="Asia-Pacific"/>
    <n v="246.86"/>
    <n v="0.68"/>
    <n v="3688.53"/>
    <n v="0.44"/>
    <n v="0.03"/>
    <n v="0.2"/>
    <n v="0.64"/>
    <n v="0.21"/>
    <n v="1.58"/>
    <n v="0.46"/>
    <n v="0.06"/>
    <n v="0.3"/>
    <n v="0.38"/>
    <n v="0.06"/>
    <n v="1.26"/>
    <n v="-0.32"/>
    <n v="0.91"/>
    <n v="1.25"/>
    <s v="6"/>
  </r>
  <r>
    <x v="99"/>
    <s v="Northern/Eastern Europe"/>
    <n v="45.53"/>
    <n v="0.74"/>
    <n v="3589.63"/>
    <n v="0.62"/>
    <n v="0.01"/>
    <n v="0.16"/>
    <n v="1.92"/>
    <n v="0.06"/>
    <n v="2.84"/>
    <n v="1.5"/>
    <n v="0.12"/>
    <n v="0.43"/>
    <n v="0.15"/>
    <n v="7.0000000000000007E-2"/>
    <n v="2.27"/>
    <n v="-0.57999999999999996"/>
    <n v="1.64"/>
    <n v="1.25"/>
    <s v="5"/>
  </r>
  <r>
    <x v="100"/>
    <s v="Latin America"/>
    <n v="6.69"/>
    <n v="0.67"/>
    <n v="3557.31"/>
    <n v="1.1100000000000001"/>
    <n v="1.1000000000000001"/>
    <n v="0.83"/>
    <n v="0.97"/>
    <n v="0.01"/>
    <n v="4.16"/>
    <n v="2.5099999999999998"/>
    <n v="2.2799999999999998"/>
    <n v="5.54"/>
    <n v="0.05"/>
    <n v="0.14000000000000001"/>
    <n v="10.52"/>
    <n v="6.36"/>
    <n v="2.4"/>
    <n v="0.4"/>
    <s v="3B"/>
  </r>
  <r>
    <x v="101"/>
    <s v="Middle East/Central Asia"/>
    <n v="2.97"/>
    <n v="0.73"/>
    <n v="3426.39"/>
    <n v="0.74"/>
    <n v="0.18"/>
    <n v="0.34"/>
    <n v="0.89"/>
    <n v="0.01"/>
    <n v="2.23"/>
    <n v="0.44"/>
    <n v="0.26"/>
    <n v="0.1"/>
    <n v="0.02"/>
    <n v="7.0000000000000007E-2"/>
    <n v="0.89"/>
    <n v="-1.35"/>
    <n v="1.29"/>
    <n v="2.52"/>
    <s v="3B"/>
  </r>
  <r>
    <x v="102"/>
    <s v="Latin America"/>
    <n v="0.8"/>
    <n v="0.63"/>
    <n v="3269.46"/>
    <n v="0.7"/>
    <n v="0.22"/>
    <n v="0.77"/>
    <n v="1.25"/>
    <n v="0.06"/>
    <n v="3.07"/>
    <n v="0.69"/>
    <n v="1.51"/>
    <n v="59.19"/>
    <n v="5.12"/>
    <n v="0.06"/>
    <n v="66.58"/>
    <n v="63.51"/>
    <n v="1.77"/>
    <n v="0.05"/>
    <s v="5"/>
  </r>
  <r>
    <x v="103"/>
    <s v="Latin America"/>
    <n v="15.08"/>
    <n v="0.62"/>
    <n v="3233.8"/>
    <n v="0.37"/>
    <n v="0.16"/>
    <n v="0.57999999999999996"/>
    <n v="0.7"/>
    <n v="0.01"/>
    <n v="1.89"/>
    <n v="0.38"/>
    <n v="0.15"/>
    <n v="0.34"/>
    <n v="0.05"/>
    <n v="7.0000000000000007E-2"/>
    <n v="0.99"/>
    <n v="-0.9"/>
    <n v="1.0900000000000001"/>
    <n v="1.91"/>
    <s v="5"/>
  </r>
  <r>
    <x v="104"/>
    <s v="Africa"/>
    <n v="32.520000000000003"/>
    <n v="0.62"/>
    <n v="3149.43"/>
    <n v="0.6"/>
    <n v="0.17"/>
    <n v="0.14000000000000001"/>
    <n v="0.67"/>
    <n v="0.06"/>
    <n v="1.68"/>
    <n v="0.34"/>
    <n v="0.17"/>
    <n v="0.1"/>
    <n v="7.0000000000000007E-2"/>
    <n v="0.03"/>
    <n v="0.71"/>
    <n v="-0.96"/>
    <n v="0.97"/>
    <n v="2.35"/>
    <s v="5"/>
  </r>
  <r>
    <x v="105"/>
    <s v="Africa"/>
    <n v="80.72"/>
    <n v="0.69"/>
    <n v="2930.33"/>
    <n v="0.68"/>
    <n v="0.08"/>
    <n v="0.17"/>
    <n v="1.02"/>
    <n v="0.04"/>
    <n v="2.15"/>
    <n v="0.38"/>
    <n v="0"/>
    <n v="0"/>
    <n v="0.02"/>
    <n v="0.15"/>
    <n v="0.56000000000000005"/>
    <n v="-1.59"/>
    <n v="1.24"/>
    <n v="3.86"/>
    <s v="5"/>
  </r>
  <r>
    <x v="106"/>
    <s v="Asia-Pacific"/>
    <n v="21.1"/>
    <n v="0.75"/>
    <n v="2880.03"/>
    <n v="0.31"/>
    <n v="0.01"/>
    <n v="0.16"/>
    <n v="0.52"/>
    <n v="0.27"/>
    <n v="1.32"/>
    <n v="0.26"/>
    <n v="0.02"/>
    <n v="0.04"/>
    <n v="7.0000000000000007E-2"/>
    <n v="0.05"/>
    <n v="0.44"/>
    <n v="-0.88"/>
    <n v="0.77"/>
    <n v="3.01"/>
    <s v="6"/>
  </r>
  <r>
    <x v="107"/>
    <s v="Africa"/>
    <n v="168.83"/>
    <n v="0.5"/>
    <n v="2612.12"/>
    <n v="0.53"/>
    <n v="0.1"/>
    <n v="0.19"/>
    <n v="0.21"/>
    <n v="0.08"/>
    <n v="1.1599999999999999"/>
    <n v="0.5"/>
    <n v="0.12"/>
    <n v="0.02"/>
    <n v="0.02"/>
    <n v="0.05"/>
    <n v="0.7"/>
    <n v="-0.47"/>
    <n v="0.67"/>
    <n v="1.67"/>
    <s v="5"/>
  </r>
  <r>
    <x v="108"/>
    <s v="Asia-Pacific"/>
    <n v="0.74"/>
    <n v="0.59"/>
    <n v="2395"/>
    <n v="0.5"/>
    <n v="0.42"/>
    <n v="3.03"/>
    <n v="0.63"/>
    <n v="0.02"/>
    <n v="4.84"/>
    <n v="0.28000000000000003"/>
    <n v="0.34"/>
    <n v="4.38"/>
    <n v="0.01"/>
    <n v="0.25"/>
    <n v="5.27"/>
    <n v="0.43"/>
    <n v="2.8"/>
    <n v="0.92"/>
    <s v="3B"/>
  </r>
  <r>
    <x v="109"/>
    <s v="Asia-Pacific"/>
    <n v="96.71"/>
    <n v="0.66"/>
    <n v="2379.44"/>
    <n v="0.36"/>
    <n v="0.03"/>
    <n v="0.09"/>
    <n v="0.34"/>
    <n v="0.23"/>
    <n v="1.1000000000000001"/>
    <n v="0.32"/>
    <n v="0.02"/>
    <n v="0.09"/>
    <n v="7.0000000000000007E-2"/>
    <n v="0.05"/>
    <n v="0.54"/>
    <n v="-0.56000000000000005"/>
    <n v="0.64"/>
    <n v="2.0299999999999998"/>
    <s v="5"/>
  </r>
  <r>
    <x v="110"/>
    <s v="Latin America"/>
    <n v="7.94"/>
    <n v="0.61"/>
    <n v="2269.5100000000002"/>
    <n v="0.28000000000000003"/>
    <n v="0.25"/>
    <n v="0.5"/>
    <n v="0.6"/>
    <n v="0"/>
    <n v="1.68"/>
    <n v="0.33"/>
    <n v="0.26"/>
    <n v="0.89"/>
    <n v="0.23"/>
    <n v="0.06"/>
    <n v="1.77"/>
    <n v="0.09"/>
    <n v="0.97"/>
    <n v="0.95"/>
    <s v="3B"/>
  </r>
  <r>
    <x v="111"/>
    <s v="Latin America"/>
    <n v="10.5"/>
    <n v="0.65"/>
    <n v="2253.09"/>
    <n v="0.37"/>
    <n v="1.69"/>
    <n v="0.17"/>
    <n v="0.67"/>
    <n v="0.01"/>
    <n v="2.96"/>
    <n v="0.59"/>
    <n v="2.1800000000000002"/>
    <n v="13.86"/>
    <n v="0.05"/>
    <n v="0.06"/>
    <n v="16.73"/>
    <n v="13.77"/>
    <n v="1.71"/>
    <n v="0.18"/>
    <s v="5"/>
  </r>
  <r>
    <x v="112"/>
    <s v="Northern/Eastern Europe"/>
    <n v="3.51"/>
    <n v="0.68"/>
    <n v="1971.03"/>
    <n v="0.43"/>
    <n v="0.08"/>
    <n v="0.15"/>
    <n v="1.03"/>
    <n v="0.06"/>
    <n v="1.78"/>
    <n v="0.59"/>
    <n v="7.0000000000000007E-2"/>
    <n v="0.1"/>
    <n v="0.01"/>
    <n v="0.03"/>
    <n v="0.8"/>
    <n v="-0.98"/>
    <n v="1.03"/>
    <n v="2.23"/>
    <s v="5"/>
  </r>
  <r>
    <x v="113"/>
    <s v="Africa"/>
    <n v="4.34"/>
    <n v="0.56999999999999995"/>
    <n v="1943.69"/>
    <n v="0.22"/>
    <n v="0.09"/>
    <n v="0.38"/>
    <n v="0.47"/>
    <n v="0.1"/>
    <n v="1.29"/>
    <n v="0.13"/>
    <n v="3.06"/>
    <n v="7.33"/>
    <n v="0.35"/>
    <n v="0.03"/>
    <n v="10.91"/>
    <n v="9.6300000000000008"/>
    <n v="0.74"/>
    <n v="0.12"/>
    <s v="5"/>
  </r>
  <r>
    <x v="114"/>
    <s v="Asia-Pacific"/>
    <n v="7.17"/>
    <n v="0.5"/>
    <n v="1871.21"/>
    <n v="0.3"/>
    <n v="0.05"/>
    <n v="0.36"/>
    <n v="0.35"/>
    <n v="0.73"/>
    <n v="1.91"/>
    <n v="0.36"/>
    <n v="0.04"/>
    <n v="2.66"/>
    <n v="0.73"/>
    <n v="0.13"/>
    <n v="3.92"/>
    <n v="2.0099999999999998"/>
    <n v="1.1000000000000001"/>
    <n v="0.49"/>
    <s v="3B"/>
  </r>
  <r>
    <x v="115"/>
    <s v="Africa"/>
    <n v="14.08"/>
    <n v="0.57999999999999996"/>
    <n v="1740.64"/>
    <n v="0.19"/>
    <n v="0.18"/>
    <n v="0.33"/>
    <n v="0.24"/>
    <n v="0.01"/>
    <n v="0.99"/>
    <n v="0.24"/>
    <n v="0.94"/>
    <n v="0.99"/>
    <n v="0.02"/>
    <n v="0.04"/>
    <n v="2.23"/>
    <n v="1.24"/>
    <n v="0.56999999999999995"/>
    <n v="0.44"/>
    <s v="6"/>
  </r>
  <r>
    <x v="116"/>
    <s v="Asia-Pacific"/>
    <n v="0.55000000000000004"/>
    <n v="0.5"/>
    <n v="1647.86"/>
    <n v="0.47"/>
    <n v="0.03"/>
    <n v="0.09"/>
    <n v="0"/>
    <n v="0.46"/>
    <n v="1.29"/>
    <n v="0.66"/>
    <n v="0.01"/>
    <n v="2.2799999999999998"/>
    <n v="1.19"/>
    <n v="0.23"/>
    <n v="4.3600000000000003"/>
    <n v="3.08"/>
    <n v="0.74"/>
    <n v="0.28999999999999998"/>
    <s v="3L"/>
  </r>
  <r>
    <x v="117"/>
    <s v="Africa"/>
    <n v="25.37"/>
    <n v="0.56999999999999995"/>
    <n v="1627.9"/>
    <n v="0.56000000000000005"/>
    <n v="7.0000000000000007E-2"/>
    <n v="0.65"/>
    <n v="0.43"/>
    <n v="0.19"/>
    <n v="1.97"/>
    <n v="0.67"/>
    <n v="0.26"/>
    <n v="0.28999999999999998"/>
    <n v="0.06"/>
    <n v="7.0000000000000007E-2"/>
    <n v="1.35"/>
    <n v="-0.62"/>
    <n v="1.1399999999999999"/>
    <n v="1.46"/>
    <s v="6"/>
  </r>
  <r>
    <x v="118"/>
    <s v="Latin America"/>
    <n v="5.99"/>
    <n v="0.63"/>
    <n v="1626.85"/>
    <n v="0.34"/>
    <n v="0.12"/>
    <n v="0.42"/>
    <n v="0.45"/>
    <n v="0.03"/>
    <n v="1.39"/>
    <n v="0.4"/>
    <n v="0.57999999999999996"/>
    <n v="0.74"/>
    <n v="0.49"/>
    <n v="0.05"/>
    <n v="2.25"/>
    <n v="0.87"/>
    <n v="0.8"/>
    <n v="0.62"/>
    <s v="5"/>
  </r>
  <r>
    <x v="119"/>
    <s v="Middle East/Central Asia"/>
    <n v="28.54"/>
    <n v="0.67"/>
    <n v="1560.85"/>
    <n v="0.62"/>
    <n v="0.13"/>
    <n v="0.08"/>
    <n v="1.41"/>
    <n v="0"/>
    <n v="2.3199999999999998"/>
    <n v="0.56000000000000005"/>
    <n v="0.2"/>
    <n v="0.06"/>
    <n v="0.03"/>
    <n v="0.08"/>
    <n v="0.92"/>
    <n v="-1.4"/>
    <n v="1.34"/>
    <n v="2.52"/>
    <s v="6"/>
  </r>
  <r>
    <x v="120"/>
    <s v="Asia-Pacific"/>
    <n v="90.8"/>
    <n v="0.66"/>
    <n v="1532.31"/>
    <n v="0.5"/>
    <n v="0.01"/>
    <n v="0.19"/>
    <n v="0.79"/>
    <n v="0.05"/>
    <n v="1.65"/>
    <n v="0.55000000000000004"/>
    <n v="0.01"/>
    <n v="0.17"/>
    <n v="0.16"/>
    <n v="0.1"/>
    <n v="1"/>
    <n v="-0.65"/>
    <n v="0.95"/>
    <n v="1.66"/>
    <s v="6"/>
  </r>
  <r>
    <x v="121"/>
    <s v="Africa"/>
    <n v="3.8"/>
    <n v="0.5"/>
    <n v="1524.39"/>
    <n v="0.39"/>
    <n v="1.2"/>
    <n v="0.21"/>
    <n v="0.55000000000000004"/>
    <n v="0.15"/>
    <n v="2.54"/>
    <n v="0.1"/>
    <n v="2.91"/>
    <n v="0.05"/>
    <n v="1.38"/>
    <n v="0.04"/>
    <n v="4.4800000000000004"/>
    <n v="1.93"/>
    <n v="1.47"/>
    <n v="0.56999999999999995"/>
    <s v="3B"/>
  </r>
  <r>
    <x v="122"/>
    <s v="Asia-Pacific"/>
    <n v="1236.69"/>
    <n v="0.6"/>
    <n v="1513.85"/>
    <n v="0.34"/>
    <n v="0.01"/>
    <n v="0.14000000000000001"/>
    <n v="0.61"/>
    <n v="0.02"/>
    <n v="1.1599999999999999"/>
    <n v="0.35"/>
    <n v="0"/>
    <n v="0.02"/>
    <n v="0.03"/>
    <n v="0.05"/>
    <n v="0.45"/>
    <n v="-0.71"/>
    <n v="0.67"/>
    <n v="2.5499999999999998"/>
    <s v="6"/>
  </r>
  <r>
    <x v="123"/>
    <s v="Africa"/>
    <n v="0.19"/>
    <n v="0.55000000000000004"/>
    <n v="1384.53"/>
    <n v="0.36"/>
    <n v="0.02"/>
    <n v="0.27"/>
    <n v="0.37"/>
    <n v="0.47"/>
    <n v="1.49"/>
    <n v="0.25"/>
    <n v="0"/>
    <n v="0.22"/>
    <n v="0.4"/>
    <n v="0"/>
    <n v="0.87"/>
    <n v="-0.61"/>
    <n v="0.86"/>
    <n v="1.7"/>
    <s v="3B"/>
  </r>
  <r>
    <x v="124"/>
    <s v="Africa"/>
    <n v="2.0499999999999998"/>
    <n v="0.48"/>
    <n v="1338.42"/>
    <n v="0.22"/>
    <n v="0.49"/>
    <n v="0.42"/>
    <n v="0.51"/>
    <n v="0"/>
    <n v="1.66"/>
    <n v="0.04"/>
    <n v="0.74"/>
    <n v="0"/>
    <n v="0"/>
    <n v="0.01"/>
    <n v="0.78"/>
    <n v="-0.87"/>
    <n v="0.96"/>
    <n v="2.11"/>
    <s v="3B"/>
  </r>
  <r>
    <x v="125"/>
    <s v="Middle East/Central Asia"/>
    <n v="23.85"/>
    <n v="0.5"/>
    <n v="1302.3"/>
    <n v="0.34"/>
    <n v="0.14000000000000001"/>
    <n v="0.04"/>
    <n v="0.42"/>
    <n v="0.04"/>
    <n v="1.03"/>
    <n v="0.09"/>
    <n v="0.12"/>
    <n v="0.04"/>
    <n v="0.2"/>
    <n v="0.04"/>
    <n v="0.5"/>
    <n v="-0.53"/>
    <n v="0.59"/>
    <n v="2.06"/>
    <s v="5"/>
  </r>
  <r>
    <x v="126"/>
    <s v="Africa"/>
    <n v="21.7"/>
    <n v="0.5"/>
    <n v="1271.21"/>
    <n v="0.54"/>
    <n v="0.1"/>
    <n v="0.21"/>
    <n v="0.19"/>
    <n v="0.08"/>
    <n v="1.17"/>
    <n v="0.55000000000000004"/>
    <n v="0.1"/>
    <n v="0.92"/>
    <n v="0.08"/>
    <n v="0.05"/>
    <n v="1.69"/>
    <n v="0.52"/>
    <n v="0.68"/>
    <n v="0.69"/>
    <s v="6"/>
  </r>
  <r>
    <x v="127"/>
    <s v="Asia-Pacific"/>
    <n v="6.65"/>
    <n v="0.56000000000000005"/>
    <n v="1236.24"/>
    <n v="0.56999999999999995"/>
    <n v="0.08"/>
    <n v="0.36"/>
    <n v="0.09"/>
    <n v="0.01"/>
    <n v="1.22"/>
    <n v="0.56999999999999995"/>
    <n v="0.13"/>
    <n v="0.78"/>
    <n v="0.03"/>
    <n v="0.11"/>
    <n v="1.62"/>
    <n v="0.4"/>
    <n v="0.7"/>
    <n v="0.75"/>
    <s v="6"/>
  </r>
  <r>
    <x v="128"/>
    <s v="Asia-Pacific"/>
    <n v="179.16"/>
    <n v="0.53"/>
    <n v="1218.5999999999999"/>
    <n v="0.27"/>
    <n v="0.01"/>
    <n v="0.08"/>
    <n v="0.38"/>
    <n v="0.02"/>
    <n v="0.79"/>
    <n v="0.26"/>
    <n v="0"/>
    <n v="0.01"/>
    <n v="0.04"/>
    <n v="0.03"/>
    <n v="0.35"/>
    <n v="-0.44"/>
    <n v="0.46"/>
    <n v="2.2799999999999998"/>
    <s v="6"/>
  </r>
  <r>
    <x v="129"/>
    <s v="Africa"/>
    <n v="12.45"/>
    <n v="0.39"/>
    <n v="1161.22"/>
    <n v="0.36"/>
    <n v="0.75"/>
    <n v="0.27"/>
    <n v="0.01"/>
    <n v="0.01"/>
    <n v="1.46"/>
    <n v="0.35"/>
    <n v="1.1499999999999999"/>
    <n v="0.41"/>
    <n v="7.0000000000000007E-2"/>
    <n v="0.05"/>
    <n v="2.0299999999999998"/>
    <n v="0.56999999999999995"/>
    <n v="0.84"/>
    <n v="0.72"/>
    <s v="6"/>
  </r>
  <r>
    <x v="130"/>
    <s v="Asia-Pacific"/>
    <n v="52.8"/>
    <n v="0.53"/>
    <n v="1117.58"/>
    <n v="0.8"/>
    <n v="0.01"/>
    <n v="0.32"/>
    <n v="0.09"/>
    <n v="0.1"/>
    <n v="1.43"/>
    <n v="0.88"/>
    <n v="0"/>
    <n v="0.56000000000000005"/>
    <n v="0.28000000000000003"/>
    <n v="0.11"/>
    <n v="1.84"/>
    <n v="0.41"/>
    <n v="0.83"/>
    <n v="0.78"/>
    <s v="6"/>
  </r>
  <r>
    <x v="131"/>
    <s v="Middle East/Central Asia"/>
    <n v="5.47"/>
    <n v="0.65"/>
    <n v="1116.3699999999999"/>
    <n v="0.59"/>
    <n v="0.18"/>
    <n v="0.09"/>
    <n v="0.95"/>
    <n v="0.01"/>
    <n v="1.91"/>
    <n v="0.47"/>
    <n v="0.63"/>
    <n v="0.06"/>
    <n v="0.05"/>
    <n v="0.08"/>
    <n v="1.3"/>
    <n v="-0.61"/>
    <n v="1.1000000000000001"/>
    <n v="1.47"/>
    <s v="3B"/>
  </r>
  <r>
    <x v="132"/>
    <s v="Africa"/>
    <n v="13.73"/>
    <n v="0.46"/>
    <n v="1079.27"/>
    <n v="0.34"/>
    <n v="0.21"/>
    <n v="0.21"/>
    <n v="0.3"/>
    <n v="0.12"/>
    <n v="1.21"/>
    <n v="0.21"/>
    <n v="0.17"/>
    <n v="0.46"/>
    <n v="0.17"/>
    <n v="0.02"/>
    <n v="1.05"/>
    <n v="-0.16"/>
    <n v="0.7"/>
    <n v="1.1599999999999999"/>
    <s v="5"/>
  </r>
  <r>
    <x v="133"/>
    <s v="Africa"/>
    <n v="43.18"/>
    <n v="0.54"/>
    <n v="1062.1099999999999"/>
    <n v="0.25"/>
    <n v="0.23"/>
    <n v="0.27"/>
    <n v="0.2"/>
    <n v="0.05"/>
    <n v="1.03"/>
    <n v="0.2"/>
    <n v="0.24"/>
    <n v="0.02"/>
    <n v="0.02"/>
    <n v="0.04"/>
    <n v="0.51"/>
    <n v="-0.52"/>
    <n v="0.6"/>
    <n v="2.02"/>
    <s v="5"/>
  </r>
  <r>
    <x v="134"/>
    <s v="Africa"/>
    <n v="13.72"/>
    <n v="0.49"/>
    <n v="865.91"/>
    <n v="0.2"/>
    <n v="0.32"/>
    <n v="0.28999999999999998"/>
    <n v="0.53"/>
    <n v="0.01"/>
    <n v="1.37"/>
    <n v="0.15"/>
    <n v="0.32"/>
    <n v="0.12"/>
    <n v="0.01"/>
    <n v="0.02"/>
    <n v="0.62"/>
    <n v="-0.75"/>
    <n v="0.79"/>
    <n v="2.2000000000000002"/>
    <s v="6"/>
  </r>
  <r>
    <x v="135"/>
    <s v="Africa"/>
    <n v="0.72"/>
    <n v="0.5"/>
    <n v="860.24"/>
    <n v="0.33"/>
    <n v="0.03"/>
    <n v="0.18"/>
    <n v="0.25"/>
    <n v="0.25"/>
    <n v="1.03"/>
    <n v="0.23"/>
    <n v="0.01"/>
    <n v="0.02"/>
    <n v="7.0000000000000007E-2"/>
    <n v="0"/>
    <n v="0.32"/>
    <n v="-0.7"/>
    <n v="0.59"/>
    <n v="3.17"/>
    <s v="3B"/>
  </r>
  <r>
    <x v="136"/>
    <s v="Asia-Pacific"/>
    <n v="154.69999999999999"/>
    <n v="0.56000000000000005"/>
    <n v="857.5"/>
    <n v="0.28999999999999998"/>
    <n v="0"/>
    <n v="0.08"/>
    <n v="0.26"/>
    <n v="0.02"/>
    <n v="0.72"/>
    <n v="0.25"/>
    <n v="0"/>
    <n v="0"/>
    <n v="0.05"/>
    <n v="7.0000000000000007E-2"/>
    <n v="0.38"/>
    <n v="-0.35"/>
    <n v="0.42"/>
    <n v="1.92"/>
    <s v="6"/>
  </r>
  <r>
    <x v="137"/>
    <s v="Middle East/Central Asia"/>
    <n v="8.01"/>
    <n v="0.62"/>
    <n v="836.17"/>
    <n v="0.46"/>
    <n v="0.14000000000000001"/>
    <n v="0.1"/>
    <n v="0.13"/>
    <n v="0"/>
    <n v="0.91"/>
    <n v="0.28999999999999998"/>
    <n v="0.14000000000000001"/>
    <n v="0.01"/>
    <n v="0.01"/>
    <n v="0.08"/>
    <n v="0.53"/>
    <n v="-0.38"/>
    <n v="0.52"/>
    <n v="1.71"/>
    <s v="5"/>
  </r>
  <r>
    <x v="138"/>
    <s v="Africa"/>
    <n v="47.78"/>
    <n v="0.51"/>
    <n v="765.33"/>
    <n v="0.44"/>
    <n v="0.34"/>
    <n v="0.23"/>
    <n v="0.17"/>
    <n v="0.09"/>
    <n v="1.32"/>
    <n v="0.46"/>
    <n v="0.34"/>
    <n v="0.17"/>
    <n v="0.06"/>
    <n v="0.06"/>
    <n v="1.08"/>
    <n v="-0.24"/>
    <n v="0.76"/>
    <n v="1.23"/>
    <s v="6"/>
  </r>
  <r>
    <x v="139"/>
    <s v="Latin America"/>
    <n v="10.17"/>
    <n v="0.48"/>
    <n v="749.13"/>
    <n v="0.27"/>
    <n v="0.04"/>
    <n v="0.1"/>
    <n v="0.15"/>
    <n v="0.01"/>
    <n v="0.61"/>
    <n v="0.18"/>
    <n v="0.03"/>
    <n v="0.01"/>
    <n v="0.01"/>
    <n v="0.03"/>
    <n v="0.27"/>
    <n v="-0.34"/>
    <n v="0.35"/>
    <n v="2.2799999999999998"/>
    <s v="6"/>
  </r>
  <r>
    <x v="140"/>
    <s v="Africa"/>
    <n v="10.050000000000001"/>
    <n v="0.48"/>
    <n v="746.83"/>
    <n v="0.49"/>
    <n v="0.04"/>
    <n v="0.26"/>
    <n v="0.51"/>
    <n v="0.08"/>
    <n v="1.41"/>
    <n v="0.44"/>
    <n v="0.04"/>
    <n v="0.34"/>
    <n v="0.02"/>
    <n v="0.04"/>
    <n v="0.88"/>
    <n v="-0.53"/>
    <n v="0.81"/>
    <n v="1.61"/>
    <s v="6"/>
  </r>
  <r>
    <x v="141"/>
    <s v="Africa"/>
    <n v="14.85"/>
    <n v="0.41"/>
    <n v="741.22"/>
    <n v="0.52"/>
    <n v="0.66"/>
    <n v="0.17"/>
    <n v="0.1"/>
    <n v="0.03"/>
    <n v="1.53"/>
    <n v="0.51"/>
    <n v="0.71"/>
    <n v="0.25"/>
    <n v="0.05"/>
    <n v="0.06"/>
    <n v="1.58"/>
    <n v="0.05"/>
    <n v="0.88"/>
    <n v="0.97"/>
    <s v="6"/>
  </r>
  <r>
    <x v="142"/>
    <s v="Asia-Pacific"/>
    <n v="27.47"/>
    <n v="0.54"/>
    <n v="700.07"/>
    <n v="0.43"/>
    <n v="7.0000000000000007E-2"/>
    <n v="0.21"/>
    <n v="0.16"/>
    <n v="0"/>
    <n v="0.98"/>
    <n v="0.37"/>
    <n v="0.05"/>
    <n v="0.06"/>
    <n v="0.01"/>
    <n v="0.11"/>
    <n v="0.59"/>
    <n v="-0.38"/>
    <n v="0.56000000000000005"/>
    <n v="1.65"/>
    <s v="6"/>
  </r>
  <r>
    <x v="143"/>
    <s v="Africa"/>
    <n v="1.66"/>
    <n v="0.42"/>
    <n v="681.25"/>
    <n v="0.35"/>
    <n v="0.36"/>
    <n v="0.67"/>
    <n v="0.09"/>
    <n v="0.01"/>
    <n v="1.53"/>
    <n v="0.48"/>
    <n v="0.36"/>
    <n v="0.34"/>
    <n v="1.79"/>
    <n v="0.06"/>
    <n v="3.03"/>
    <n v="1.49"/>
    <n v="0.89"/>
    <n v="0.51"/>
    <s v="6"/>
  </r>
  <r>
    <x v="144"/>
    <s v="Africa"/>
    <n v="16.46"/>
    <n v="0.39"/>
    <n v="671.07"/>
    <n v="0.47"/>
    <n v="0.17"/>
    <n v="0.36"/>
    <n v="0.12"/>
    <n v="0.03"/>
    <n v="1.21"/>
    <n v="0.5"/>
    <n v="0.17"/>
    <n v="0.25"/>
    <n v="0"/>
    <n v="0.05"/>
    <n v="0.98"/>
    <n v="-0.22"/>
    <n v="0.7"/>
    <n v="1.23"/>
    <s v="5"/>
  </r>
  <r>
    <x v="145"/>
    <s v="Africa"/>
    <n v="11.46"/>
    <n v="0.48"/>
    <n v="628.08000000000004"/>
    <n v="0.43"/>
    <n v="0.05"/>
    <n v="0.25"/>
    <n v="7.0000000000000007E-2"/>
    <n v="0.01"/>
    <n v="0.87"/>
    <n v="0.42"/>
    <n v="0.05"/>
    <n v="0.01"/>
    <n v="0.01"/>
    <n v="0.05"/>
    <n v="0.54"/>
    <n v="-0.32"/>
    <n v="0.5"/>
    <n v="1.6"/>
    <s v="5"/>
  </r>
  <r>
    <x v="146"/>
    <s v="Middle East/Central Asia"/>
    <n v="29.82"/>
    <n v="0.46"/>
    <n v="614.66"/>
    <n v="0.3"/>
    <n v="0.2"/>
    <n v="0.08"/>
    <n v="0.18"/>
    <n v="0"/>
    <n v="0.79"/>
    <n v="0.24"/>
    <n v="0.2"/>
    <n v="0.02"/>
    <n v="0"/>
    <n v="0.04"/>
    <n v="0.5"/>
    <n v="-0.3"/>
    <n v="0.46"/>
    <n v="1.6"/>
    <s v="6"/>
  </r>
  <r>
    <x v="147"/>
    <s v="Africa"/>
    <n v="36.35"/>
    <n v="0.48"/>
    <n v="601.35"/>
    <n v="0.34"/>
    <n v="0.15"/>
    <n v="0.54"/>
    <n v="0.08"/>
    <n v="0.11"/>
    <n v="1.24"/>
    <n v="0.35"/>
    <n v="0.15"/>
    <n v="0.01"/>
    <n v="0.04"/>
    <n v="0.04"/>
    <n v="0.59"/>
    <n v="-0.66"/>
    <n v="0.72"/>
    <n v="2.12"/>
    <s v="6"/>
  </r>
  <r>
    <x v="148"/>
    <s v="Africa"/>
    <n v="6.64"/>
    <n v="0.47"/>
    <n v="580.86"/>
    <n v="0.34"/>
    <n v="0.1"/>
    <n v="0.27"/>
    <n v="0.31"/>
    <n v="0.08"/>
    <n v="1.1299999999999999"/>
    <n v="0.34"/>
    <n v="0.12"/>
    <n v="0.03"/>
    <n v="0.02"/>
    <n v="0.02"/>
    <n v="0.53"/>
    <n v="-0.6"/>
    <n v="0.65"/>
    <n v="2.13"/>
    <s v="6"/>
  </r>
  <r>
    <x v="149"/>
    <s v="Africa"/>
    <n v="25.2"/>
    <n v="0.41"/>
    <n v="538.82000000000005"/>
    <n v="0.31"/>
    <n v="0.03"/>
    <n v="0.28999999999999998"/>
    <n v="0.17"/>
    <n v="0.03"/>
    <n v="0.87"/>
    <n v="0.28000000000000003"/>
    <n v="0.96"/>
    <n v="0.61"/>
    <n v="0.17"/>
    <n v="0.05"/>
    <n v="2.06"/>
    <n v="1.19"/>
    <n v="0.5"/>
    <n v="0.42"/>
    <s v="5"/>
  </r>
  <r>
    <x v="150"/>
    <s v="Africa"/>
    <n v="1.79"/>
    <n v="0.44"/>
    <n v="505.76"/>
    <n v="0.46"/>
    <n v="0.05"/>
    <n v="0.2"/>
    <n v="0.21"/>
    <n v="0.08"/>
    <n v="1.03"/>
    <n v="0.23"/>
    <n v="0.04"/>
    <n v="0.2"/>
    <n v="0.32"/>
    <n v="0.03"/>
    <n v="0.82"/>
    <n v="-0.21"/>
    <n v="0.6"/>
    <n v="1.25"/>
    <s v="5"/>
  </r>
  <r>
    <x v="151"/>
    <s v="Africa"/>
    <n v="5.98"/>
    <n v="0.4"/>
    <n v="499.89"/>
    <n v="0.47"/>
    <n v="0.11"/>
    <n v="0.38"/>
    <n v="7.0000000000000007E-2"/>
    <n v="0.15"/>
    <n v="1.24"/>
    <n v="0.42"/>
    <n v="0.35"/>
    <n v="0.19"/>
    <n v="0.22"/>
    <n v="0.05"/>
    <n v="1.24"/>
    <n v="0"/>
    <n v="0.71"/>
    <n v="1"/>
    <s v="6"/>
  </r>
  <r>
    <x v="152"/>
    <s v="Africa"/>
    <n v="4.53"/>
    <n v="0.37"/>
    <n v="495.04"/>
    <n v="0.3"/>
    <n v="0.55000000000000004"/>
    <n v="0.26"/>
    <n v="0.08"/>
    <n v="0.02"/>
    <n v="1.24"/>
    <n v="0.28999999999999998"/>
    <n v="0.56999999999999995"/>
    <n v="6.98"/>
    <n v="0"/>
    <n v="0.04"/>
    <n v="7.87"/>
    <n v="6.62"/>
    <n v="0.72"/>
    <n v="0.16"/>
    <s v="6"/>
  </r>
  <r>
    <x v="153"/>
    <s v="Africa"/>
    <n v="15.91"/>
    <n v="0.43"/>
    <n v="493.84"/>
    <n v="0.43"/>
    <n v="0.05"/>
    <n v="0.2"/>
    <n v="7.0000000000000007E-2"/>
    <n v="0.01"/>
    <n v="0.81"/>
    <n v="0.45"/>
    <n v="7.0000000000000007E-2"/>
    <n v="0.02"/>
    <n v="0.06"/>
    <n v="0.05"/>
    <n v="0.66"/>
    <n v="-0.15"/>
    <n v="0.47"/>
    <n v="1.22"/>
    <s v="5"/>
  </r>
  <r>
    <x v="154"/>
    <s v="Africa"/>
    <n v="11.45"/>
    <n v="0.41"/>
    <n v="459.09"/>
    <n v="0.39"/>
    <n v="0.32"/>
    <n v="0.45"/>
    <n v="0.16"/>
    <n v="0.05"/>
    <n v="1.41"/>
    <n v="0.35"/>
    <n v="0.75"/>
    <n v="0.64"/>
    <n v="0.3"/>
    <n v="0.04"/>
    <n v="2.09"/>
    <n v="0.68"/>
    <n v="0.81"/>
    <n v="0.67"/>
    <s v="5"/>
  </r>
  <r>
    <x v="155"/>
    <s v="Africa"/>
    <n v="22.29"/>
    <n v="0.51"/>
    <n v="456.33"/>
    <n v="0.27"/>
    <n v="0.34"/>
    <n v="0.24"/>
    <n v="7.0000000000000007E-2"/>
    <n v="0.02"/>
    <n v="0.99"/>
    <n v="0.26"/>
    <n v="1.3"/>
    <n v="0.8"/>
    <n v="0.21"/>
    <n v="0.06"/>
    <n v="2.63"/>
    <n v="1.64"/>
    <n v="0.56999999999999995"/>
    <n v="0.38"/>
    <s v="6"/>
  </r>
  <r>
    <x v="156"/>
    <s v="Africa"/>
    <n v="6.13"/>
    <n v="0.39"/>
    <n v="439.73"/>
    <n v="0.1"/>
    <n v="0.18"/>
    <n v="0.06"/>
    <n v="0.03"/>
    <n v="0.01"/>
    <n v="0.42"/>
    <n v="7.0000000000000007E-2"/>
    <n v="0.18"/>
    <n v="0.09"/>
    <n v="0.93"/>
    <n v="0.02"/>
    <n v="1.3"/>
    <n v="0.88"/>
    <n v="0.24"/>
    <n v="0.32"/>
    <s v="5"/>
  </r>
  <r>
    <x v="157"/>
    <s v="Africa"/>
    <n v="17.16"/>
    <n v="0.34"/>
    <n v="410.91"/>
    <n v="0.67"/>
    <n v="0.48"/>
    <n v="0.26"/>
    <n v="0.1"/>
    <n v="0.02"/>
    <n v="1.56"/>
    <n v="0.65"/>
    <n v="0.51"/>
    <n v="0.05"/>
    <n v="0"/>
    <n v="0.03"/>
    <n v="1.24"/>
    <n v="-0.32"/>
    <n v="0.9"/>
    <n v="1.26"/>
    <s v="5"/>
  </r>
  <r>
    <x v="158"/>
    <s v="Africa"/>
    <n v="4.1900000000000004"/>
    <n v="0.42"/>
    <n v="397.38"/>
    <n v="0.23"/>
    <n v="0.03"/>
    <n v="0.75"/>
    <n v="0.14000000000000001"/>
    <n v="0.03"/>
    <n v="1.21"/>
    <n v="0.15"/>
    <n v="0.61"/>
    <n v="1.45"/>
    <n v="0.32"/>
    <n v="0.03"/>
    <n v="2.57"/>
    <n v="1.35"/>
    <n v="0.7"/>
    <n v="0.47"/>
    <s v="3B"/>
  </r>
  <r>
    <x v="159"/>
    <s v="Africa"/>
    <n v="91.73"/>
    <n v="0.43"/>
    <n v="379.38"/>
    <n v="0.31"/>
    <n v="0.12"/>
    <n v="0.46"/>
    <n v="7.0000000000000007E-2"/>
    <n v="0"/>
    <n v="1.02"/>
    <n v="0.31"/>
    <n v="0.12"/>
    <n v="0.05"/>
    <n v="0.04"/>
    <n v="0.06"/>
    <n v="0.57999999999999996"/>
    <n v="-0.44"/>
    <n v="0.59"/>
    <n v="1.75"/>
    <s v="6"/>
  </r>
  <r>
    <x v="160"/>
    <s v="Africa"/>
    <n v="65.7"/>
    <n v="0.42"/>
    <n v="338.63"/>
    <n v="0.15"/>
    <n v="0.01"/>
    <n v="0.51"/>
    <n v="7.0000000000000007E-2"/>
    <n v="0.01"/>
    <n v="0.82"/>
    <n v="0.13"/>
    <n v="0.32"/>
    <n v="2.52"/>
    <n v="0.05"/>
    <n v="0.05"/>
    <n v="3.07"/>
    <n v="2.25"/>
    <n v="0.47"/>
    <n v="0.27"/>
    <s v="6"/>
  </r>
  <r>
    <x v="161"/>
    <s v="Africa"/>
    <n v="9.85"/>
    <n v="0.39"/>
    <n v="276.69"/>
    <n v="0.21"/>
    <n v="7.0000000000000007E-2"/>
    <n v="0.45"/>
    <n v="0.04"/>
    <n v="0"/>
    <n v="0.8"/>
    <n v="0.2"/>
    <n v="7.0000000000000007E-2"/>
    <n v="0.01"/>
    <n v="0.01"/>
    <n v="0.03"/>
    <n v="0.32"/>
    <n v="-0.48"/>
    <n v="0.46"/>
    <n v="2.48"/>
    <s v="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108CDD0-AF0A-4E05-B103-78A14C32FEFA}" name="PivotTable1" cacheId="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14" firstHeaderRow="1" firstDataRow="1" firstDataCol="1"/>
  <pivotFields count="21">
    <pivotField axis="axisRow" showAll="0" measureFilter="1" sortType="descending">
      <items count="163">
        <item x="146"/>
        <item x="90"/>
        <item x="79"/>
        <item x="87"/>
        <item x="45"/>
        <item x="101"/>
        <item x="3"/>
        <item x="10"/>
        <item x="68"/>
        <item x="32"/>
        <item x="27"/>
        <item x="136"/>
        <item x="37"/>
        <item x="71"/>
        <item x="12"/>
        <item x="140"/>
        <item x="108"/>
        <item x="111"/>
        <item x="86"/>
        <item x="62"/>
        <item x="47"/>
        <item x="13"/>
        <item x="64"/>
        <item x="144"/>
        <item x="161"/>
        <item x="126"/>
        <item x="9"/>
        <item x="152"/>
        <item x="129"/>
        <item x="38"/>
        <item x="77"/>
        <item x="66"/>
        <item x="135"/>
        <item x="113"/>
        <item x="160"/>
        <item x="57"/>
        <item x="39"/>
        <item x="83"/>
        <item x="24"/>
        <item x="34"/>
        <item x="4"/>
        <item x="69"/>
        <item x="72"/>
        <item x="82"/>
        <item x="105"/>
        <item x="97"/>
        <item x="29"/>
        <item x="156"/>
        <item x="159"/>
        <item x="93"/>
        <item x="16"/>
        <item x="49"/>
        <item x="150"/>
        <item x="96"/>
        <item x="14"/>
        <item x="117"/>
        <item x="25"/>
        <item x="103"/>
        <item x="154"/>
        <item x="143"/>
        <item x="102"/>
        <item x="139"/>
        <item x="110"/>
        <item x="42"/>
        <item x="122"/>
        <item x="98"/>
        <item x="65"/>
        <item x="75"/>
        <item x="8"/>
        <item x="22"/>
        <item x="20"/>
        <item x="81"/>
        <item x="15"/>
        <item x="89"/>
        <item x="50"/>
        <item x="133"/>
        <item x="28"/>
        <item x="17"/>
        <item x="131"/>
        <item x="127"/>
        <item x="44"/>
        <item x="56"/>
        <item x="124"/>
        <item x="158"/>
        <item x="74"/>
        <item x="40"/>
        <item x="0"/>
        <item x="84"/>
        <item x="155"/>
        <item x="153"/>
        <item x="52"/>
        <item x="141"/>
        <item x="121"/>
        <item x="58"/>
        <item x="54"/>
        <item x="112"/>
        <item x="95"/>
        <item x="67"/>
        <item x="104"/>
        <item x="149"/>
        <item x="130"/>
        <item x="73"/>
        <item x="142"/>
        <item x="6"/>
        <item x="21"/>
        <item x="118"/>
        <item x="157"/>
        <item x="107"/>
        <item x="33"/>
        <item x="128"/>
        <item x="59"/>
        <item x="114"/>
        <item x="100"/>
        <item x="76"/>
        <item x="109"/>
        <item x="43"/>
        <item x="31"/>
        <item x="1"/>
        <item x="55"/>
        <item x="46"/>
        <item x="145"/>
        <item x="48"/>
        <item x="63"/>
        <item x="94"/>
        <item x="123"/>
        <item x="30"/>
        <item x="132"/>
        <item x="70"/>
        <item x="151"/>
        <item x="7"/>
        <item x="36"/>
        <item x="26"/>
        <item x="116"/>
        <item x="61"/>
        <item x="23"/>
        <item x="106"/>
        <item x="60"/>
        <item x="88"/>
        <item x="5"/>
        <item x="2"/>
        <item x="137"/>
        <item x="138"/>
        <item x="78"/>
        <item x="85"/>
        <item x="148"/>
        <item x="91"/>
        <item x="35"/>
        <item x="92"/>
        <item x="51"/>
        <item x="80"/>
        <item x="147"/>
        <item x="99"/>
        <item x="19"/>
        <item x="18"/>
        <item x="11"/>
        <item x="41"/>
        <item x="119"/>
        <item x="53"/>
        <item x="120"/>
        <item x="125"/>
        <item x="115"/>
        <item x="134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0"/>
  </rowFields>
  <rowItems count="11">
    <i>
      <x v="86"/>
    </i>
    <i>
      <x v="117"/>
    </i>
    <i>
      <x v="139"/>
    </i>
    <i>
      <x v="6"/>
    </i>
    <i>
      <x v="40"/>
    </i>
    <i>
      <x v="138"/>
    </i>
    <i>
      <x v="103"/>
    </i>
    <i>
      <x v="129"/>
    </i>
    <i>
      <x v="68"/>
    </i>
    <i>
      <x v="26"/>
    </i>
    <i t="grand">
      <x/>
    </i>
  </rowItems>
  <colItems count="1">
    <i/>
  </colItems>
  <dataFields count="1">
    <dataField name="Sum of GDP per Capita" fld="4" baseField="0" baseItem="0"/>
  </dataFields>
  <pivotTableStyleInfo name="PivotStyleLight16" showRowHeaders="1" showColHeaders="1" showRowStripes="0" showColStripes="0" showLastColumn="1"/>
  <filters count="1">
    <filter fld="0" type="count" evalOrder="-1" id="1" iMeasureFld="0">
      <autoFilter ref="A1">
        <filterColumn colId="0">
          <top10 val="10" filterVal="10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B36C099F-F79E-4949-8C05-F22B4CC489E7}" autoFormatId="16" applyNumberFormats="0" applyBorderFormats="0" applyFontFormats="0" applyPatternFormats="0" applyAlignmentFormats="0" applyWidthHeightFormats="0">
  <queryTableRefresh nextId="24">
    <queryTableFields count="21">
      <queryTableField id="1" name="Country" tableColumnId="1"/>
      <queryTableField id="2" name="Region" tableColumnId="2"/>
      <queryTableField id="3" name="Population (millions)" tableColumnId="3"/>
      <queryTableField id="4" name="HDI" tableColumnId="4"/>
      <queryTableField id="5" name="GDP per Capita" tableColumnId="5"/>
      <queryTableField id="6" name="Cropland Footprint" tableColumnId="6"/>
      <queryTableField id="7" name="Grazing Footprint" tableColumnId="7"/>
      <queryTableField id="8" name="Forest Footprint" tableColumnId="8"/>
      <queryTableField id="9" name="Carbon Footprint" tableColumnId="9"/>
      <queryTableField id="10" name="Fish Footprint" tableColumnId="10"/>
      <queryTableField id="11" name="Total Ecological Footprint" tableColumnId="11"/>
      <queryTableField id="12" name="Cropland" tableColumnId="12"/>
      <queryTableField id="13" name="Grazing Land" tableColumnId="13"/>
      <queryTableField id="14" name="Forest Land" tableColumnId="14"/>
      <queryTableField id="15" name="Fishing Water" tableColumnId="15"/>
      <queryTableField id="16" name="Urban Land" tableColumnId="16"/>
      <queryTableField id="17" name="Total Biocapacity" tableColumnId="17"/>
      <queryTableField id="18" name="Biocapacity Deficit or Reserve" tableColumnId="18"/>
      <queryTableField id="19" name="Earths Required" tableColumnId="19"/>
      <queryTableField id="20" name="Countries Required" tableColumnId="20"/>
      <queryTableField id="21" name="Data Quality" tableColumnId="21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AF6FA34-D99D-4591-A3EE-3ECCDED5200B}" name="counteriers_data" displayName="counteriers_data" ref="A1:U163" tableType="queryTable" totalsRowShown="0">
  <autoFilter ref="A1:U163" xr:uid="{5AF6FA34-D99D-4591-A3EE-3ECCDED5200B}"/>
  <tableColumns count="21">
    <tableColumn id="1" xr3:uid="{95B52C39-E248-4E4D-9BAA-A0D98FAC6278}" uniqueName="1" name="Country" queryTableFieldId="1" dataDxfId="3"/>
    <tableColumn id="2" xr3:uid="{F8710825-B019-4593-9524-1E3354CB147B}" uniqueName="2" name="Region" queryTableFieldId="2" dataDxfId="2"/>
    <tableColumn id="3" xr3:uid="{51C4D154-86B1-4D5A-937F-3C4F08967552}" uniqueName="3" name="Population (millions)" queryTableFieldId="3"/>
    <tableColumn id="4" xr3:uid="{2C3CA8B4-529F-47C0-AB88-7FD989641FD8}" uniqueName="4" name="HDI" queryTableFieldId="4"/>
    <tableColumn id="5" xr3:uid="{9D2116A7-9669-48FD-B763-2E82592A04F1}" uniqueName="5" name="GDP per Capita" queryTableFieldId="5" dataDxfId="1"/>
    <tableColumn id="6" xr3:uid="{8580299E-8A2F-4DE8-A3BC-6E58B637DDCE}" uniqueName="6" name="Cropland Footprint" queryTableFieldId="6"/>
    <tableColumn id="7" xr3:uid="{8672E2A7-1FEB-4EBE-AFEB-E636CB747FC1}" uniqueName="7" name="Grazing Footprint" queryTableFieldId="7"/>
    <tableColumn id="8" xr3:uid="{10E55409-AA66-4F1B-B031-A6190F55D4F4}" uniqueName="8" name="Forest Footprint" queryTableFieldId="8"/>
    <tableColumn id="9" xr3:uid="{A781E597-D368-439A-9A0C-1F86456A48B2}" uniqueName="9" name="Carbon Footprint" queryTableFieldId="9"/>
    <tableColumn id="10" xr3:uid="{F4BCCD74-124E-4962-A303-225E94767E8B}" uniqueName="10" name="Fish Footprint" queryTableFieldId="10"/>
    <tableColumn id="11" xr3:uid="{48AA0CD0-9561-431E-AA3A-CA1B19660AF5}" uniqueName="11" name="Total Ecological Footprint" queryTableFieldId="11"/>
    <tableColumn id="12" xr3:uid="{7059DD6F-B9D3-4B26-B5B5-CC29D934EE07}" uniqueName="12" name="Cropland" queryTableFieldId="12"/>
    <tableColumn id="13" xr3:uid="{29084448-5496-486A-846C-8EAF7EC6AC58}" uniqueName="13" name="Grazing Land" queryTableFieldId="13"/>
    <tableColumn id="14" xr3:uid="{D4B20AD6-4550-4B27-82D7-3989D069EE11}" uniqueName="14" name="Forest Land" queryTableFieldId="14"/>
    <tableColumn id="15" xr3:uid="{AB113642-82B3-4C4E-92FF-972F081FABA6}" uniqueName="15" name="Fishing Water" queryTableFieldId="15"/>
    <tableColumn id="16" xr3:uid="{FFB154B0-E334-4036-80BE-2D051796D525}" uniqueName="16" name="Urban Land" queryTableFieldId="16"/>
    <tableColumn id="17" xr3:uid="{1AD05C4C-0877-4975-8ACC-150C41D387CE}" uniqueName="17" name="Total Biocapacity" queryTableFieldId="17"/>
    <tableColumn id="18" xr3:uid="{6C9ADE25-B1DC-4351-81A7-35B9011F9753}" uniqueName="18" name="Biocapacity Deficit or Reserve" queryTableFieldId="18"/>
    <tableColumn id="19" xr3:uid="{16E2D2CE-F361-4DF7-B360-CFFA6A61D5F2}" uniqueName="19" name="Earths Required" queryTableFieldId="19"/>
    <tableColumn id="20" xr3:uid="{C95FDAB3-415E-46C4-83DC-B5E98441F8D4}" uniqueName="20" name="Countries Required" queryTableFieldId="20"/>
    <tableColumn id="21" xr3:uid="{5922386F-1574-42C4-A4FB-CD9C49AACFB4}" uniqueName="21" name="Data Quality" queryTableFieldId="21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3A9444-3A36-4E25-8622-3F793A329F7D}">
  <dimension ref="A3:B14"/>
  <sheetViews>
    <sheetView workbookViewId="0">
      <selection activeCell="B4" sqref="B4"/>
    </sheetView>
  </sheetViews>
  <sheetFormatPr defaultRowHeight="14.4" x14ac:dyDescent="0.3"/>
  <cols>
    <col min="1" max="1" width="12.5546875" bestFit="1" customWidth="1"/>
    <col min="2" max="2" width="20.21875" bestFit="1" customWidth="1"/>
  </cols>
  <sheetData>
    <row r="3" spans="1:2" x14ac:dyDescent="0.3">
      <c r="A3" s="2" t="s">
        <v>195</v>
      </c>
      <c r="B3" t="s">
        <v>197</v>
      </c>
    </row>
    <row r="4" spans="1:2" x14ac:dyDescent="0.3">
      <c r="A4" s="3" t="s">
        <v>31</v>
      </c>
      <c r="B4" s="1">
        <v>114665</v>
      </c>
    </row>
    <row r="5" spans="1:2" x14ac:dyDescent="0.3">
      <c r="A5" s="3" t="s">
        <v>33</v>
      </c>
      <c r="B5" s="1">
        <v>99431.5</v>
      </c>
    </row>
    <row r="6" spans="1:2" x14ac:dyDescent="0.3">
      <c r="A6" s="3" t="s">
        <v>36</v>
      </c>
      <c r="B6" s="1">
        <v>88506.2</v>
      </c>
    </row>
    <row r="7" spans="1:2" x14ac:dyDescent="0.3">
      <c r="A7" s="3" t="s">
        <v>23</v>
      </c>
      <c r="B7" s="1">
        <v>66604.2</v>
      </c>
    </row>
    <row r="8" spans="1:2" x14ac:dyDescent="0.3">
      <c r="A8" s="3" t="s">
        <v>29</v>
      </c>
      <c r="B8" s="1">
        <v>61413.599999999999</v>
      </c>
    </row>
    <row r="9" spans="1:2" x14ac:dyDescent="0.3">
      <c r="A9" s="3" t="s">
        <v>35</v>
      </c>
      <c r="B9" s="1">
        <v>59381.9</v>
      </c>
    </row>
    <row r="10" spans="1:2" x14ac:dyDescent="0.3">
      <c r="A10" s="3" t="s">
        <v>32</v>
      </c>
      <c r="B10" s="1">
        <v>53589.9</v>
      </c>
    </row>
    <row r="11" spans="1:2" x14ac:dyDescent="0.3">
      <c r="A11" s="3" t="s">
        <v>34</v>
      </c>
      <c r="B11" s="1">
        <v>53122.400000000001</v>
      </c>
    </row>
    <row r="12" spans="1:2" x14ac:dyDescent="0.3">
      <c r="A12" s="3" t="s">
        <v>30</v>
      </c>
      <c r="B12" s="1">
        <v>52853.599999999999</v>
      </c>
    </row>
    <row r="13" spans="1:2" x14ac:dyDescent="0.3">
      <c r="A13" s="3" t="s">
        <v>28</v>
      </c>
      <c r="B13" s="1">
        <v>52145.4</v>
      </c>
    </row>
    <row r="14" spans="1:2" x14ac:dyDescent="0.3">
      <c r="A14" s="3" t="s">
        <v>196</v>
      </c>
      <c r="B14" s="1">
        <v>701713.70000000007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03849A-1424-4B52-BAC4-57C187DF5609}">
  <dimension ref="A1:U163"/>
  <sheetViews>
    <sheetView tabSelected="1" topLeftCell="A49" workbookViewId="0">
      <selection activeCell="D3" sqref="D3"/>
    </sheetView>
  </sheetViews>
  <sheetFormatPr defaultRowHeight="14.4" x14ac:dyDescent="0.3"/>
  <cols>
    <col min="1" max="1" width="28.88671875" bestFit="1" customWidth="1"/>
    <col min="2" max="2" width="21.88671875" bestFit="1" customWidth="1"/>
    <col min="3" max="3" width="20.88671875" bestFit="1" customWidth="1"/>
    <col min="4" max="4" width="9" bestFit="1" customWidth="1"/>
    <col min="5" max="5" width="15.88671875" bestFit="1" customWidth="1"/>
    <col min="6" max="6" width="19.21875" bestFit="1" customWidth="1"/>
    <col min="7" max="7" width="17.77734375" bestFit="1" customWidth="1"/>
    <col min="8" max="8" width="16.6640625" bestFit="1" customWidth="1"/>
    <col min="9" max="9" width="17.6640625" bestFit="1" customWidth="1"/>
    <col min="10" max="10" width="14.6640625" bestFit="1" customWidth="1"/>
    <col min="11" max="11" width="24.77734375" bestFit="1" customWidth="1"/>
    <col min="12" max="12" width="10.88671875" bestFit="1" customWidth="1"/>
    <col min="13" max="13" width="14" bestFit="1" customWidth="1"/>
    <col min="14" max="14" width="12.88671875" bestFit="1" customWidth="1"/>
    <col min="15" max="15" width="14.5546875" bestFit="1" customWidth="1"/>
    <col min="16" max="16" width="13" bestFit="1" customWidth="1"/>
    <col min="17" max="17" width="17.6640625" bestFit="1" customWidth="1"/>
    <col min="18" max="18" width="28.33203125" bestFit="1" customWidth="1"/>
    <col min="19" max="19" width="16.5546875" bestFit="1" customWidth="1"/>
    <col min="20" max="20" width="19.44140625" bestFit="1" customWidth="1"/>
    <col min="21" max="21" width="13.5546875" bestFit="1" customWidth="1"/>
    <col min="22" max="22" width="9.44140625" bestFit="1" customWidth="1"/>
    <col min="23" max="23" width="14.88671875" bestFit="1" customWidth="1"/>
  </cols>
  <sheetData>
    <row r="1" spans="1:2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3">
      <c r="A2" s="1" t="s">
        <v>31</v>
      </c>
      <c r="B2" s="1" t="s">
        <v>25</v>
      </c>
      <c r="C2">
        <v>0.52</v>
      </c>
      <c r="D2">
        <v>0.89</v>
      </c>
      <c r="E2" s="1">
        <v>114665</v>
      </c>
      <c r="F2">
        <v>1.1000000000000001</v>
      </c>
      <c r="G2">
        <v>0.76</v>
      </c>
      <c r="H2">
        <v>1.03</v>
      </c>
      <c r="I2">
        <v>12.65</v>
      </c>
      <c r="J2">
        <v>0.13</v>
      </c>
      <c r="K2">
        <v>15.82</v>
      </c>
      <c r="L2">
        <v>0.56999999999999995</v>
      </c>
      <c r="M2">
        <v>0.08</v>
      </c>
      <c r="N2">
        <v>0.89</v>
      </c>
      <c r="O2">
        <v>0</v>
      </c>
      <c r="P2">
        <v>0.14000000000000001</v>
      </c>
      <c r="Q2">
        <v>1.68</v>
      </c>
      <c r="R2">
        <v>-14.14</v>
      </c>
      <c r="S2">
        <v>9.14</v>
      </c>
      <c r="T2">
        <v>9.44</v>
      </c>
      <c r="U2" s="1" t="s">
        <v>38</v>
      </c>
    </row>
    <row r="3" spans="1:21" x14ac:dyDescent="0.3">
      <c r="A3" s="1" t="s">
        <v>33</v>
      </c>
      <c r="B3" s="1" t="s">
        <v>21</v>
      </c>
      <c r="C3">
        <v>2.0499999999999998</v>
      </c>
      <c r="D3">
        <v>0.85</v>
      </c>
      <c r="E3" s="1">
        <v>99431.5</v>
      </c>
      <c r="F3">
        <v>0.56999999999999995</v>
      </c>
      <c r="G3">
        <v>0.27</v>
      </c>
      <c r="H3">
        <v>0.15</v>
      </c>
      <c r="I3">
        <v>9.57</v>
      </c>
      <c r="J3">
        <v>0.19</v>
      </c>
      <c r="K3">
        <v>10.8</v>
      </c>
      <c r="L3">
        <v>0.01</v>
      </c>
      <c r="M3">
        <v>0</v>
      </c>
      <c r="N3">
        <v>0</v>
      </c>
      <c r="O3">
        <v>1.17</v>
      </c>
      <c r="P3">
        <v>0.06</v>
      </c>
      <c r="Q3">
        <v>1.24</v>
      </c>
      <c r="R3">
        <v>-9.56</v>
      </c>
      <c r="S3">
        <v>6.24</v>
      </c>
      <c r="T3">
        <v>8.7200000000000006</v>
      </c>
      <c r="U3" s="1" t="s">
        <v>26</v>
      </c>
    </row>
    <row r="4" spans="1:21" x14ac:dyDescent="0.3">
      <c r="A4" s="1" t="s">
        <v>36</v>
      </c>
      <c r="B4" s="1" t="s">
        <v>22</v>
      </c>
      <c r="C4">
        <v>8</v>
      </c>
      <c r="D4">
        <v>0.93</v>
      </c>
      <c r="E4" s="1">
        <v>88506.2</v>
      </c>
      <c r="F4">
        <v>0.75</v>
      </c>
      <c r="G4">
        <v>0.22</v>
      </c>
      <c r="H4">
        <v>0.38</v>
      </c>
      <c r="I4">
        <v>4.26</v>
      </c>
      <c r="J4">
        <v>7.0000000000000007E-2</v>
      </c>
      <c r="K4">
        <v>5.79</v>
      </c>
      <c r="L4">
        <v>0.32</v>
      </c>
      <c r="M4">
        <v>0.12</v>
      </c>
      <c r="N4">
        <v>0.74</v>
      </c>
      <c r="O4">
        <v>0.01</v>
      </c>
      <c r="P4">
        <v>0.12</v>
      </c>
      <c r="Q4">
        <v>1.3</v>
      </c>
      <c r="R4">
        <v>-4.4800000000000004</v>
      </c>
      <c r="S4">
        <v>3.34</v>
      </c>
      <c r="T4">
        <v>4.4400000000000004</v>
      </c>
      <c r="U4" s="1" t="s">
        <v>37</v>
      </c>
    </row>
    <row r="5" spans="1:21" x14ac:dyDescent="0.3">
      <c r="A5" s="1" t="s">
        <v>23</v>
      </c>
      <c r="B5" s="1" t="s">
        <v>24</v>
      </c>
      <c r="C5">
        <v>23.05</v>
      </c>
      <c r="D5">
        <v>0.93</v>
      </c>
      <c r="E5" s="1">
        <v>66604.2</v>
      </c>
      <c r="F5">
        <v>2.68</v>
      </c>
      <c r="G5">
        <v>0.63</v>
      </c>
      <c r="H5">
        <v>0.89</v>
      </c>
      <c r="I5">
        <v>4.8499999999999996</v>
      </c>
      <c r="J5">
        <v>0.11</v>
      </c>
      <c r="K5">
        <v>9.31</v>
      </c>
      <c r="L5">
        <v>5.42</v>
      </c>
      <c r="M5">
        <v>5.81</v>
      </c>
      <c r="N5">
        <v>2.0099999999999998</v>
      </c>
      <c r="O5">
        <v>3.19</v>
      </c>
      <c r="P5">
        <v>0.14000000000000001</v>
      </c>
      <c r="Q5">
        <v>16.57</v>
      </c>
      <c r="R5">
        <v>7.26</v>
      </c>
      <c r="S5">
        <v>5.37</v>
      </c>
      <c r="T5">
        <v>0.56000000000000005</v>
      </c>
      <c r="U5" s="1" t="s">
        <v>38</v>
      </c>
    </row>
    <row r="6" spans="1:21" x14ac:dyDescent="0.3">
      <c r="A6" s="1" t="s">
        <v>29</v>
      </c>
      <c r="B6" s="1" t="s">
        <v>25</v>
      </c>
      <c r="C6">
        <v>5.6</v>
      </c>
      <c r="D6">
        <v>0.92</v>
      </c>
      <c r="E6" s="1">
        <v>61413.599999999999</v>
      </c>
      <c r="F6">
        <v>1.18</v>
      </c>
      <c r="G6">
        <v>0.47</v>
      </c>
      <c r="H6">
        <v>0.77</v>
      </c>
      <c r="I6">
        <v>2.6</v>
      </c>
      <c r="J6">
        <v>0.24</v>
      </c>
      <c r="K6">
        <v>5.51</v>
      </c>
      <c r="L6">
        <v>2.38</v>
      </c>
      <c r="M6">
        <v>0.01</v>
      </c>
      <c r="N6">
        <v>0.34</v>
      </c>
      <c r="O6">
        <v>1.8</v>
      </c>
      <c r="P6">
        <v>0.25</v>
      </c>
      <c r="Q6">
        <v>4.78</v>
      </c>
      <c r="R6">
        <v>-0.73</v>
      </c>
      <c r="S6">
        <v>3.18</v>
      </c>
      <c r="T6">
        <v>1.1499999999999999</v>
      </c>
      <c r="U6" s="1" t="s">
        <v>38</v>
      </c>
    </row>
    <row r="7" spans="1:21" x14ac:dyDescent="0.3">
      <c r="A7" s="1" t="s">
        <v>35</v>
      </c>
      <c r="B7" s="1" t="s">
        <v>25</v>
      </c>
      <c r="C7">
        <v>9.51</v>
      </c>
      <c r="D7">
        <v>0.9</v>
      </c>
      <c r="E7" s="1">
        <v>59381.9</v>
      </c>
      <c r="F7">
        <v>1.47</v>
      </c>
      <c r="G7">
        <v>0.27</v>
      </c>
      <c r="H7">
        <v>1.3</v>
      </c>
      <c r="I7">
        <v>3.88</v>
      </c>
      <c r="J7">
        <v>0.09</v>
      </c>
      <c r="K7">
        <v>7.25</v>
      </c>
      <c r="L7">
        <v>1.31</v>
      </c>
      <c r="M7">
        <v>0.22</v>
      </c>
      <c r="N7">
        <v>6.66</v>
      </c>
      <c r="O7">
        <v>2.19</v>
      </c>
      <c r="P7">
        <v>0.24</v>
      </c>
      <c r="Q7">
        <v>10.62</v>
      </c>
      <c r="R7">
        <v>3.38</v>
      </c>
      <c r="S7">
        <v>4.1900000000000004</v>
      </c>
      <c r="T7">
        <v>0.68</v>
      </c>
      <c r="U7" s="1" t="s">
        <v>38</v>
      </c>
    </row>
    <row r="8" spans="1:21" x14ac:dyDescent="0.3">
      <c r="A8" s="1" t="s">
        <v>32</v>
      </c>
      <c r="B8" s="1" t="s">
        <v>25</v>
      </c>
      <c r="C8">
        <v>16.71</v>
      </c>
      <c r="D8">
        <v>0.92</v>
      </c>
      <c r="E8" s="1">
        <v>53589.9</v>
      </c>
      <c r="F8">
        <v>0.76</v>
      </c>
      <c r="G8">
        <v>0.57999999999999996</v>
      </c>
      <c r="H8">
        <v>0.38</v>
      </c>
      <c r="I8">
        <v>3.23</v>
      </c>
      <c r="J8">
        <v>0.16</v>
      </c>
      <c r="K8">
        <v>5.28</v>
      </c>
      <c r="L8">
        <v>0.45</v>
      </c>
      <c r="M8">
        <v>0.04</v>
      </c>
      <c r="N8">
        <v>0.08</v>
      </c>
      <c r="O8">
        <v>0.43</v>
      </c>
      <c r="P8">
        <v>0.17</v>
      </c>
      <c r="Q8">
        <v>1.17</v>
      </c>
      <c r="R8">
        <v>-4.1100000000000003</v>
      </c>
      <c r="S8">
        <v>3.05</v>
      </c>
      <c r="T8">
        <v>4.53</v>
      </c>
      <c r="U8" s="1" t="s">
        <v>37</v>
      </c>
    </row>
    <row r="9" spans="1:21" x14ac:dyDescent="0.3">
      <c r="A9" s="1" t="s">
        <v>34</v>
      </c>
      <c r="B9" s="1" t="s">
        <v>24</v>
      </c>
      <c r="C9">
        <v>5.3</v>
      </c>
      <c r="D9">
        <v>0.91</v>
      </c>
      <c r="E9" s="1">
        <v>53122.400000000001</v>
      </c>
      <c r="F9">
        <v>0.67</v>
      </c>
      <c r="G9">
        <v>0.24</v>
      </c>
      <c r="H9">
        <v>0.91</v>
      </c>
      <c r="I9">
        <v>5.91</v>
      </c>
      <c r="J9">
        <v>0.22</v>
      </c>
      <c r="K9">
        <v>7.97</v>
      </c>
      <c r="L9">
        <v>0</v>
      </c>
      <c r="M9">
        <v>0</v>
      </c>
      <c r="N9">
        <v>0</v>
      </c>
      <c r="O9">
        <v>0.01</v>
      </c>
      <c r="P9">
        <v>0.03</v>
      </c>
      <c r="Q9">
        <v>0.05</v>
      </c>
      <c r="R9">
        <v>-7.92</v>
      </c>
      <c r="S9">
        <v>4.6100000000000003</v>
      </c>
      <c r="T9">
        <v>159.47</v>
      </c>
      <c r="U9" s="1" t="s">
        <v>38</v>
      </c>
    </row>
    <row r="10" spans="1:21" x14ac:dyDescent="0.3">
      <c r="A10" s="1" t="s">
        <v>30</v>
      </c>
      <c r="B10" s="1" t="s">
        <v>25</v>
      </c>
      <c r="C10">
        <v>4.58</v>
      </c>
      <c r="D10">
        <v>0.91</v>
      </c>
      <c r="E10" s="1">
        <v>52853.599999999999</v>
      </c>
      <c r="F10">
        <v>1.08</v>
      </c>
      <c r="G10">
        <v>0.49</v>
      </c>
      <c r="H10">
        <v>0.46</v>
      </c>
      <c r="I10">
        <v>3.22</v>
      </c>
      <c r="J10">
        <v>0.18</v>
      </c>
      <c r="K10">
        <v>5.57</v>
      </c>
      <c r="L10">
        <v>0.84</v>
      </c>
      <c r="M10">
        <v>0.76</v>
      </c>
      <c r="N10">
        <v>0.5</v>
      </c>
      <c r="O10">
        <v>1.49</v>
      </c>
      <c r="P10">
        <v>0.13</v>
      </c>
      <c r="Q10">
        <v>3.73</v>
      </c>
      <c r="R10">
        <v>-1.83</v>
      </c>
      <c r="S10">
        <v>3.21</v>
      </c>
      <c r="T10">
        <v>1.49</v>
      </c>
      <c r="U10" s="1" t="s">
        <v>38</v>
      </c>
    </row>
    <row r="11" spans="1:21" x14ac:dyDescent="0.3">
      <c r="A11" s="1" t="s">
        <v>28</v>
      </c>
      <c r="B11" s="1" t="s">
        <v>27</v>
      </c>
      <c r="C11">
        <v>34.840000000000003</v>
      </c>
      <c r="D11">
        <v>0.91</v>
      </c>
      <c r="E11" s="1">
        <v>52145.4</v>
      </c>
      <c r="F11">
        <v>1.46</v>
      </c>
      <c r="G11">
        <v>0.33</v>
      </c>
      <c r="H11">
        <v>1.2</v>
      </c>
      <c r="I11">
        <v>5</v>
      </c>
      <c r="J11">
        <v>0.12</v>
      </c>
      <c r="K11">
        <v>8.17</v>
      </c>
      <c r="L11">
        <v>3.11</v>
      </c>
      <c r="M11">
        <v>0.28999999999999998</v>
      </c>
      <c r="N11">
        <v>9.1199999999999992</v>
      </c>
      <c r="O11">
        <v>3.41</v>
      </c>
      <c r="P11">
        <v>7.0000000000000007E-2</v>
      </c>
      <c r="Q11">
        <v>16.010000000000002</v>
      </c>
      <c r="R11">
        <v>7.83</v>
      </c>
      <c r="S11">
        <v>4.72</v>
      </c>
      <c r="T11">
        <v>0.51</v>
      </c>
      <c r="U11" s="1" t="s">
        <v>38</v>
      </c>
    </row>
    <row r="12" spans="1:21" x14ac:dyDescent="0.3">
      <c r="A12" s="1" t="s">
        <v>39</v>
      </c>
      <c r="B12" s="1" t="s">
        <v>25</v>
      </c>
      <c r="C12">
        <v>8.4600000000000009</v>
      </c>
      <c r="D12">
        <v>0.88</v>
      </c>
      <c r="E12" s="1">
        <v>51274.1</v>
      </c>
      <c r="F12">
        <v>0.82</v>
      </c>
      <c r="G12">
        <v>0.27</v>
      </c>
      <c r="H12">
        <v>0.63</v>
      </c>
      <c r="I12">
        <v>4.1399999999999997</v>
      </c>
      <c r="J12">
        <v>0.06</v>
      </c>
      <c r="K12">
        <v>6.06</v>
      </c>
      <c r="L12">
        <v>0.71</v>
      </c>
      <c r="M12">
        <v>0.16</v>
      </c>
      <c r="N12">
        <v>2.04</v>
      </c>
      <c r="O12">
        <v>0</v>
      </c>
      <c r="P12">
        <v>0.15</v>
      </c>
      <c r="Q12">
        <v>3.07</v>
      </c>
      <c r="R12">
        <v>-3</v>
      </c>
      <c r="S12">
        <v>3.5</v>
      </c>
      <c r="T12">
        <v>1.98</v>
      </c>
      <c r="U12" s="1" t="s">
        <v>38</v>
      </c>
    </row>
    <row r="13" spans="1:21" x14ac:dyDescent="0.3">
      <c r="A13" s="1" t="s">
        <v>40</v>
      </c>
      <c r="B13" s="1" t="s">
        <v>27</v>
      </c>
      <c r="C13">
        <v>317.5</v>
      </c>
      <c r="D13">
        <v>0.91</v>
      </c>
      <c r="E13" s="1">
        <v>49725</v>
      </c>
      <c r="F13">
        <v>1.1299999999999999</v>
      </c>
      <c r="G13">
        <v>0.3</v>
      </c>
      <c r="H13">
        <v>0.67</v>
      </c>
      <c r="I13">
        <v>5.9</v>
      </c>
      <c r="J13">
        <v>0.12</v>
      </c>
      <c r="K13">
        <v>8.2200000000000006</v>
      </c>
      <c r="L13">
        <v>1.49</v>
      </c>
      <c r="M13">
        <v>0.28000000000000003</v>
      </c>
      <c r="N13">
        <v>1.57</v>
      </c>
      <c r="O13">
        <v>0.33</v>
      </c>
      <c r="P13">
        <v>0.09</v>
      </c>
      <c r="Q13">
        <v>3.76</v>
      </c>
      <c r="R13">
        <v>-4.46</v>
      </c>
      <c r="S13">
        <v>4.75</v>
      </c>
      <c r="T13">
        <v>2.19</v>
      </c>
      <c r="U13" s="1" t="s">
        <v>37</v>
      </c>
    </row>
    <row r="14" spans="1:21" x14ac:dyDescent="0.3">
      <c r="A14" s="1" t="s">
        <v>41</v>
      </c>
      <c r="B14" s="1" t="s">
        <v>25</v>
      </c>
      <c r="C14">
        <v>11.06</v>
      </c>
      <c r="D14">
        <v>0.89</v>
      </c>
      <c r="E14" s="1">
        <v>48053.3</v>
      </c>
      <c r="F14">
        <v>1.1499999999999999</v>
      </c>
      <c r="G14">
        <v>0.48</v>
      </c>
      <c r="H14">
        <v>0.99</v>
      </c>
      <c r="I14">
        <v>4.43</v>
      </c>
      <c r="J14">
        <v>0.12</v>
      </c>
      <c r="K14">
        <v>7.44</v>
      </c>
      <c r="L14">
        <v>0.56000000000000005</v>
      </c>
      <c r="M14">
        <v>0.03</v>
      </c>
      <c r="N14">
        <v>0.28000000000000003</v>
      </c>
      <c r="O14">
        <v>0.04</v>
      </c>
      <c r="P14">
        <v>0.27</v>
      </c>
      <c r="Q14">
        <v>1.19</v>
      </c>
      <c r="R14">
        <v>-6.25</v>
      </c>
      <c r="S14">
        <v>4.3</v>
      </c>
      <c r="T14">
        <v>6.27</v>
      </c>
      <c r="U14" s="1" t="s">
        <v>37</v>
      </c>
    </row>
    <row r="15" spans="1:21" x14ac:dyDescent="0.3">
      <c r="A15" s="1" t="s">
        <v>42</v>
      </c>
      <c r="B15" s="1" t="s">
        <v>24</v>
      </c>
      <c r="C15">
        <v>0.41</v>
      </c>
      <c r="D15">
        <v>0.85</v>
      </c>
      <c r="E15" s="1">
        <v>47097.4</v>
      </c>
      <c r="F15">
        <v>0.31</v>
      </c>
      <c r="G15">
        <v>0.13</v>
      </c>
      <c r="H15">
        <v>0.26</v>
      </c>
      <c r="I15">
        <v>3.24</v>
      </c>
      <c r="J15">
        <v>0.09</v>
      </c>
      <c r="K15">
        <v>4.0599999999999996</v>
      </c>
      <c r="L15">
        <v>0.02</v>
      </c>
      <c r="M15">
        <v>0.01</v>
      </c>
      <c r="N15">
        <v>1.57</v>
      </c>
      <c r="O15">
        <v>1.24</v>
      </c>
      <c r="P15">
        <v>0.03</v>
      </c>
      <c r="Q15">
        <v>2.87</v>
      </c>
      <c r="R15">
        <v>-1.19</v>
      </c>
      <c r="S15">
        <v>2.34</v>
      </c>
      <c r="T15">
        <v>1.41</v>
      </c>
      <c r="U15" s="1" t="s">
        <v>26</v>
      </c>
    </row>
    <row r="16" spans="1:21" x14ac:dyDescent="0.3">
      <c r="A16" s="1" t="s">
        <v>43</v>
      </c>
      <c r="B16" s="1" t="s">
        <v>25</v>
      </c>
      <c r="C16">
        <v>82.8</v>
      </c>
      <c r="D16">
        <v>0.91</v>
      </c>
      <c r="E16" s="1">
        <v>46822.400000000001</v>
      </c>
      <c r="F16">
        <v>1.1000000000000001</v>
      </c>
      <c r="G16">
        <v>0.14000000000000001</v>
      </c>
      <c r="H16">
        <v>0.48</v>
      </c>
      <c r="I16">
        <v>3.28</v>
      </c>
      <c r="J16">
        <v>0.05</v>
      </c>
      <c r="K16">
        <v>5.3</v>
      </c>
      <c r="L16">
        <v>1.23</v>
      </c>
      <c r="M16">
        <v>0.06</v>
      </c>
      <c r="N16">
        <v>0.68</v>
      </c>
      <c r="O16">
        <v>7.0000000000000007E-2</v>
      </c>
      <c r="P16">
        <v>0.24</v>
      </c>
      <c r="Q16">
        <v>2.27</v>
      </c>
      <c r="R16">
        <v>-3.02</v>
      </c>
      <c r="S16">
        <v>3.06</v>
      </c>
      <c r="T16">
        <v>2.33</v>
      </c>
      <c r="U16" s="1" t="s">
        <v>38</v>
      </c>
    </row>
    <row r="17" spans="1:21" x14ac:dyDescent="0.3">
      <c r="A17" s="1" t="s">
        <v>44</v>
      </c>
      <c r="B17" s="1" t="s">
        <v>24</v>
      </c>
      <c r="C17">
        <v>127.25</v>
      </c>
      <c r="D17">
        <v>0.89</v>
      </c>
      <c r="E17" s="1">
        <v>46201.599999999999</v>
      </c>
      <c r="F17">
        <v>0.53</v>
      </c>
      <c r="G17">
        <v>0.1</v>
      </c>
      <c r="H17">
        <v>0.27</v>
      </c>
      <c r="I17">
        <v>3.69</v>
      </c>
      <c r="J17">
        <v>0.33</v>
      </c>
      <c r="K17">
        <v>5.0199999999999996</v>
      </c>
      <c r="L17">
        <v>0.16</v>
      </c>
      <c r="M17">
        <v>0</v>
      </c>
      <c r="N17">
        <v>0.35</v>
      </c>
      <c r="O17">
        <v>0.1</v>
      </c>
      <c r="P17">
        <v>0.1</v>
      </c>
      <c r="Q17">
        <v>0.72</v>
      </c>
      <c r="R17">
        <v>-4.3</v>
      </c>
      <c r="S17">
        <v>2.9</v>
      </c>
      <c r="T17">
        <v>7.01</v>
      </c>
      <c r="U17" s="1" t="s">
        <v>37</v>
      </c>
    </row>
    <row r="18" spans="1:21" x14ac:dyDescent="0.3">
      <c r="A18" s="1" t="s">
        <v>45</v>
      </c>
      <c r="B18" s="1" t="s">
        <v>25</v>
      </c>
      <c r="C18">
        <v>63.98</v>
      </c>
      <c r="D18">
        <v>0.89</v>
      </c>
      <c r="E18" s="1">
        <v>45430.3</v>
      </c>
      <c r="F18">
        <v>1.23</v>
      </c>
      <c r="G18">
        <v>0.27</v>
      </c>
      <c r="H18">
        <v>0.53</v>
      </c>
      <c r="I18">
        <v>2.71</v>
      </c>
      <c r="J18">
        <v>0.19</v>
      </c>
      <c r="K18">
        <v>5.14</v>
      </c>
      <c r="L18">
        <v>1.67</v>
      </c>
      <c r="M18">
        <v>0.16</v>
      </c>
      <c r="N18">
        <v>0.96</v>
      </c>
      <c r="O18">
        <v>0.11</v>
      </c>
      <c r="P18">
        <v>0.21</v>
      </c>
      <c r="Q18">
        <v>3.11</v>
      </c>
      <c r="R18">
        <v>-2.04</v>
      </c>
      <c r="S18">
        <v>2.97</v>
      </c>
      <c r="T18">
        <v>1.66</v>
      </c>
      <c r="U18" s="1" t="s">
        <v>37</v>
      </c>
    </row>
    <row r="19" spans="1:21" x14ac:dyDescent="0.3">
      <c r="A19" s="1" t="s">
        <v>46</v>
      </c>
      <c r="B19" s="1" t="s">
        <v>21</v>
      </c>
      <c r="C19">
        <v>3.25</v>
      </c>
      <c r="D19">
        <v>0.82</v>
      </c>
      <c r="E19" s="1">
        <v>41830.5</v>
      </c>
      <c r="F19">
        <v>0.55000000000000004</v>
      </c>
      <c r="G19">
        <v>0.24</v>
      </c>
      <c r="H19">
        <v>0.21</v>
      </c>
      <c r="I19">
        <v>6.89</v>
      </c>
      <c r="J19">
        <v>0.09</v>
      </c>
      <c r="K19">
        <v>8.1300000000000008</v>
      </c>
      <c r="L19">
        <v>0.02</v>
      </c>
      <c r="M19">
        <v>0.01</v>
      </c>
      <c r="N19">
        <v>0</v>
      </c>
      <c r="O19">
        <v>0.37</v>
      </c>
      <c r="P19">
        <v>0.15</v>
      </c>
      <c r="Q19">
        <v>0.55000000000000004</v>
      </c>
      <c r="R19">
        <v>-7.58</v>
      </c>
      <c r="S19">
        <v>4.7</v>
      </c>
      <c r="T19">
        <v>14.68</v>
      </c>
      <c r="U19" s="1" t="s">
        <v>26</v>
      </c>
    </row>
    <row r="20" spans="1:21" x14ac:dyDescent="0.3">
      <c r="A20" s="1" t="s">
        <v>47</v>
      </c>
      <c r="B20" s="1" t="s">
        <v>25</v>
      </c>
      <c r="C20">
        <v>63.03</v>
      </c>
      <c r="D20">
        <v>0.9</v>
      </c>
      <c r="E20" s="1">
        <v>40980.5</v>
      </c>
      <c r="F20">
        <v>0.82</v>
      </c>
      <c r="G20">
        <v>0.28000000000000003</v>
      </c>
      <c r="H20">
        <v>0.45</v>
      </c>
      <c r="I20">
        <v>3.14</v>
      </c>
      <c r="J20">
        <v>0.08</v>
      </c>
      <c r="K20">
        <v>4.9400000000000004</v>
      </c>
      <c r="L20">
        <v>0.6</v>
      </c>
      <c r="M20">
        <v>0.12</v>
      </c>
      <c r="N20">
        <v>0.12</v>
      </c>
      <c r="O20">
        <v>0.3</v>
      </c>
      <c r="P20">
        <v>0.18</v>
      </c>
      <c r="Q20">
        <v>1.32</v>
      </c>
      <c r="R20">
        <v>-3.62</v>
      </c>
      <c r="S20">
        <v>2.85</v>
      </c>
      <c r="T20">
        <v>3.76</v>
      </c>
      <c r="U20" s="1" t="s">
        <v>37</v>
      </c>
    </row>
    <row r="21" spans="1:21" x14ac:dyDescent="0.3">
      <c r="A21" s="1" t="s">
        <v>48</v>
      </c>
      <c r="B21" s="1" t="s">
        <v>21</v>
      </c>
      <c r="C21">
        <v>9.2059999999999995</v>
      </c>
      <c r="D21">
        <v>0.83</v>
      </c>
      <c r="E21" s="1">
        <v>40817.4</v>
      </c>
      <c r="F21">
        <v>0.8</v>
      </c>
      <c r="G21">
        <v>0.19</v>
      </c>
      <c r="H21">
        <v>0.38</v>
      </c>
      <c r="I21">
        <v>6.37</v>
      </c>
      <c r="J21">
        <v>0.19</v>
      </c>
      <c r="K21">
        <v>7.93</v>
      </c>
      <c r="L21">
        <v>0.02</v>
      </c>
      <c r="M21">
        <v>0</v>
      </c>
      <c r="N21">
        <v>7.0000000000000007E-2</v>
      </c>
      <c r="O21">
        <v>0.47</v>
      </c>
      <c r="P21">
        <v>0</v>
      </c>
      <c r="Q21">
        <v>0.56000000000000005</v>
      </c>
      <c r="R21">
        <v>-7.37</v>
      </c>
      <c r="S21">
        <v>4.58</v>
      </c>
      <c r="T21">
        <v>14.160714285714301</v>
      </c>
      <c r="U21" s="1" t="s">
        <v>37</v>
      </c>
    </row>
    <row r="22" spans="1:21" x14ac:dyDescent="0.3">
      <c r="A22" s="1" t="s">
        <v>49</v>
      </c>
      <c r="B22" s="1" t="s">
        <v>25</v>
      </c>
      <c r="C22">
        <v>60.92</v>
      </c>
      <c r="D22">
        <v>0.87</v>
      </c>
      <c r="E22" s="1">
        <v>38412</v>
      </c>
      <c r="F22">
        <v>0.91</v>
      </c>
      <c r="G22">
        <v>0.32</v>
      </c>
      <c r="H22">
        <v>0.42</v>
      </c>
      <c r="I22">
        <v>2.77</v>
      </c>
      <c r="J22">
        <v>0.12</v>
      </c>
      <c r="K22">
        <v>4.6100000000000003</v>
      </c>
      <c r="L22">
        <v>0.57999999999999996</v>
      </c>
      <c r="M22">
        <v>0.04</v>
      </c>
      <c r="N22">
        <v>0.33</v>
      </c>
      <c r="O22">
        <v>0.06</v>
      </c>
      <c r="P22">
        <v>0.06</v>
      </c>
      <c r="Q22">
        <v>1.08</v>
      </c>
      <c r="R22">
        <v>-3.53</v>
      </c>
      <c r="S22">
        <v>2.66</v>
      </c>
      <c r="T22">
        <v>4.28</v>
      </c>
      <c r="U22" s="1" t="s">
        <v>37</v>
      </c>
    </row>
    <row r="23" spans="1:21" x14ac:dyDescent="0.3">
      <c r="A23" s="1" t="s">
        <v>50</v>
      </c>
      <c r="B23" s="1" t="s">
        <v>24</v>
      </c>
      <c r="C23">
        <v>4.46</v>
      </c>
      <c r="D23">
        <v>0.91</v>
      </c>
      <c r="E23" s="1">
        <v>37488.300000000003</v>
      </c>
      <c r="F23">
        <v>0.63</v>
      </c>
      <c r="G23">
        <v>0.23</v>
      </c>
      <c r="H23">
        <v>1.08</v>
      </c>
      <c r="I23">
        <v>2.84</v>
      </c>
      <c r="J23">
        <v>0.7</v>
      </c>
      <c r="K23">
        <v>5.6</v>
      </c>
      <c r="L23">
        <v>0.51</v>
      </c>
      <c r="M23">
        <v>2.7</v>
      </c>
      <c r="N23">
        <v>5.95</v>
      </c>
      <c r="O23">
        <v>0.86</v>
      </c>
      <c r="P23">
        <v>0.13</v>
      </c>
      <c r="Q23">
        <v>10.14</v>
      </c>
      <c r="R23">
        <v>4.54</v>
      </c>
      <c r="S23">
        <v>3.23</v>
      </c>
      <c r="T23">
        <v>0.55000000000000004</v>
      </c>
      <c r="U23" s="1" t="s">
        <v>51</v>
      </c>
    </row>
    <row r="24" spans="1:21" x14ac:dyDescent="0.3">
      <c r="A24" s="1" t="s">
        <v>52</v>
      </c>
      <c r="B24" s="1" t="s">
        <v>21</v>
      </c>
      <c r="C24">
        <v>7.64</v>
      </c>
      <c r="D24">
        <v>0.89</v>
      </c>
      <c r="E24" s="1">
        <v>33718.9</v>
      </c>
      <c r="F24">
        <v>0.89</v>
      </c>
      <c r="G24">
        <v>0.22</v>
      </c>
      <c r="H24">
        <v>0.36</v>
      </c>
      <c r="I24">
        <v>4.59</v>
      </c>
      <c r="J24">
        <v>7.0000000000000007E-2</v>
      </c>
      <c r="K24">
        <v>6.22</v>
      </c>
      <c r="L24">
        <v>0.22</v>
      </c>
      <c r="M24">
        <v>0.01</v>
      </c>
      <c r="N24">
        <v>0.03</v>
      </c>
      <c r="O24">
        <v>0.02</v>
      </c>
      <c r="P24">
        <v>0.08</v>
      </c>
      <c r="Q24">
        <v>0.35</v>
      </c>
      <c r="R24">
        <v>-5.87</v>
      </c>
      <c r="S24">
        <v>3.59</v>
      </c>
      <c r="T24">
        <v>17.59</v>
      </c>
      <c r="U24" s="1" t="s">
        <v>37</v>
      </c>
    </row>
    <row r="25" spans="1:21" x14ac:dyDescent="0.3">
      <c r="A25" s="1" t="s">
        <v>53</v>
      </c>
      <c r="B25" s="1" t="s">
        <v>25</v>
      </c>
      <c r="C25">
        <v>46.76</v>
      </c>
      <c r="D25">
        <v>0.87</v>
      </c>
      <c r="E25" s="1">
        <v>32008.7</v>
      </c>
      <c r="F25">
        <v>0.78</v>
      </c>
      <c r="G25">
        <v>0.15</v>
      </c>
      <c r="H25">
        <v>0.17</v>
      </c>
      <c r="I25">
        <v>2.2200000000000002</v>
      </c>
      <c r="J25">
        <v>0.32</v>
      </c>
      <c r="K25">
        <v>3.67</v>
      </c>
      <c r="L25">
        <v>0.72</v>
      </c>
      <c r="M25">
        <v>0.1</v>
      </c>
      <c r="N25">
        <v>0.34</v>
      </c>
      <c r="O25">
        <v>0.06</v>
      </c>
      <c r="P25">
        <v>0.04</v>
      </c>
      <c r="Q25">
        <v>1.25</v>
      </c>
      <c r="R25">
        <v>-2.42</v>
      </c>
      <c r="S25">
        <v>2.12</v>
      </c>
      <c r="T25">
        <v>2.94</v>
      </c>
      <c r="U25" s="1" t="s">
        <v>37</v>
      </c>
    </row>
    <row r="26" spans="1:21" x14ac:dyDescent="0.3">
      <c r="A26" s="1" t="s">
        <v>54</v>
      </c>
      <c r="B26" s="1" t="s">
        <v>25</v>
      </c>
      <c r="C26">
        <v>1.1299999999999999</v>
      </c>
      <c r="D26">
        <v>0.85</v>
      </c>
      <c r="E26" s="1">
        <v>31454.7</v>
      </c>
      <c r="F26">
        <v>0.77</v>
      </c>
      <c r="G26">
        <v>0.08</v>
      </c>
      <c r="H26">
        <v>0.23</v>
      </c>
      <c r="I26">
        <v>2.94</v>
      </c>
      <c r="J26">
        <v>0.14000000000000001</v>
      </c>
      <c r="K26">
        <v>4.21</v>
      </c>
      <c r="L26">
        <v>0.18</v>
      </c>
      <c r="M26">
        <v>0</v>
      </c>
      <c r="N26">
        <v>0.06</v>
      </c>
      <c r="O26">
        <v>0.06</v>
      </c>
      <c r="P26">
        <v>0.05</v>
      </c>
      <c r="Q26">
        <v>0.34</v>
      </c>
      <c r="R26">
        <v>-3.87</v>
      </c>
      <c r="S26">
        <v>2.4300000000000002</v>
      </c>
      <c r="T26">
        <v>12.35</v>
      </c>
      <c r="U26" s="1" t="s">
        <v>38</v>
      </c>
    </row>
    <row r="27" spans="1:21" x14ac:dyDescent="0.3">
      <c r="A27" s="1" t="s">
        <v>55</v>
      </c>
      <c r="B27" s="1" t="s">
        <v>25</v>
      </c>
      <c r="C27">
        <v>11.12</v>
      </c>
      <c r="D27">
        <v>0.86</v>
      </c>
      <c r="E27" s="1">
        <v>25987.4</v>
      </c>
      <c r="F27">
        <v>1.07</v>
      </c>
      <c r="G27">
        <v>0.35</v>
      </c>
      <c r="H27">
        <v>0.24</v>
      </c>
      <c r="I27">
        <v>2.58</v>
      </c>
      <c r="J27">
        <v>0.08</v>
      </c>
      <c r="K27">
        <v>4.38</v>
      </c>
      <c r="L27">
        <v>1.01</v>
      </c>
      <c r="M27">
        <v>0.14000000000000001</v>
      </c>
      <c r="N27">
        <v>0.23</v>
      </c>
      <c r="O27">
        <v>0.17</v>
      </c>
      <c r="P27">
        <v>0.06</v>
      </c>
      <c r="Q27">
        <v>1.61</v>
      </c>
      <c r="R27">
        <v>-2.77</v>
      </c>
      <c r="S27">
        <v>2.5299999999999998</v>
      </c>
      <c r="T27">
        <v>2.73</v>
      </c>
      <c r="U27" s="1" t="s">
        <v>38</v>
      </c>
    </row>
    <row r="28" spans="1:21" x14ac:dyDescent="0.3">
      <c r="A28" s="1" t="s">
        <v>56</v>
      </c>
      <c r="B28" s="1" t="s">
        <v>25</v>
      </c>
      <c r="C28">
        <v>2.0699999999999998</v>
      </c>
      <c r="D28">
        <v>0.88</v>
      </c>
      <c r="E28" s="1">
        <v>25040.5</v>
      </c>
      <c r="F28">
        <v>0.64</v>
      </c>
      <c r="G28">
        <v>0.17</v>
      </c>
      <c r="H28">
        <v>0.65</v>
      </c>
      <c r="I28">
        <v>4.2699999999999996</v>
      </c>
      <c r="J28">
        <v>0.05</v>
      </c>
      <c r="K28">
        <v>5.81</v>
      </c>
      <c r="L28">
        <v>0.37</v>
      </c>
      <c r="M28">
        <v>7.0000000000000007E-2</v>
      </c>
      <c r="N28">
        <v>1.87</v>
      </c>
      <c r="O28">
        <v>0</v>
      </c>
      <c r="P28">
        <v>0.04</v>
      </c>
      <c r="Q28">
        <v>2.35</v>
      </c>
      <c r="R28">
        <v>-3.47</v>
      </c>
      <c r="S28">
        <v>3.36</v>
      </c>
      <c r="T28">
        <v>2.48</v>
      </c>
      <c r="U28" s="1" t="s">
        <v>37</v>
      </c>
    </row>
    <row r="29" spans="1:21" x14ac:dyDescent="0.3">
      <c r="A29" s="1" t="s">
        <v>57</v>
      </c>
      <c r="B29" s="1" t="s">
        <v>21</v>
      </c>
      <c r="C29">
        <v>1.32</v>
      </c>
      <c r="D29">
        <v>0.82</v>
      </c>
      <c r="E29" s="1">
        <v>24299</v>
      </c>
      <c r="F29">
        <v>0.52</v>
      </c>
      <c r="G29">
        <v>0.45</v>
      </c>
      <c r="H29">
        <v>0.16</v>
      </c>
      <c r="I29">
        <v>6.19</v>
      </c>
      <c r="J29">
        <v>7.0000000000000007E-2</v>
      </c>
      <c r="K29">
        <v>7.49</v>
      </c>
      <c r="L29">
        <v>0.01</v>
      </c>
      <c r="M29">
        <v>0</v>
      </c>
      <c r="N29">
        <v>0</v>
      </c>
      <c r="O29">
        <v>0.46</v>
      </c>
      <c r="P29">
        <v>0.1</v>
      </c>
      <c r="Q29">
        <v>0.57999999999999996</v>
      </c>
      <c r="R29">
        <v>-6.91</v>
      </c>
      <c r="S29">
        <v>4.33</v>
      </c>
      <c r="T29">
        <v>12.96</v>
      </c>
      <c r="U29" s="1" t="s">
        <v>26</v>
      </c>
    </row>
    <row r="30" spans="1:21" x14ac:dyDescent="0.3">
      <c r="A30" s="1" t="s">
        <v>58</v>
      </c>
      <c r="B30" s="1" t="s">
        <v>24</v>
      </c>
      <c r="C30">
        <v>49</v>
      </c>
      <c r="D30">
        <v>0.89</v>
      </c>
      <c r="E30" s="1">
        <v>24155.8</v>
      </c>
      <c r="F30">
        <v>0.71</v>
      </c>
      <c r="G30">
        <v>0.12</v>
      </c>
      <c r="H30">
        <v>0.21</v>
      </c>
      <c r="I30">
        <v>4.17</v>
      </c>
      <c r="J30">
        <v>0.41</v>
      </c>
      <c r="K30">
        <v>5.69</v>
      </c>
      <c r="L30">
        <v>0.13</v>
      </c>
      <c r="M30">
        <v>0</v>
      </c>
      <c r="N30">
        <v>0.09</v>
      </c>
      <c r="O30">
        <v>0.4</v>
      </c>
      <c r="P30">
        <v>0.06</v>
      </c>
      <c r="Q30">
        <v>0.68</v>
      </c>
      <c r="R30">
        <v>-5.01</v>
      </c>
      <c r="S30">
        <v>3.29</v>
      </c>
      <c r="T30">
        <v>8.36</v>
      </c>
      <c r="U30" s="1" t="s">
        <v>38</v>
      </c>
    </row>
    <row r="31" spans="1:21" x14ac:dyDescent="0.3">
      <c r="A31" s="1" t="s">
        <v>59</v>
      </c>
      <c r="B31" s="1" t="s">
        <v>60</v>
      </c>
      <c r="C31">
        <v>0.74</v>
      </c>
      <c r="D31">
        <v>0.57999999999999996</v>
      </c>
      <c r="E31" s="1">
        <v>24064</v>
      </c>
      <c r="F31">
        <v>0.27</v>
      </c>
      <c r="G31">
        <v>0.02</v>
      </c>
      <c r="H31">
        <v>0.26</v>
      </c>
      <c r="I31">
        <v>3.17</v>
      </c>
      <c r="J31">
        <v>0.22</v>
      </c>
      <c r="K31">
        <v>3.97</v>
      </c>
      <c r="L31">
        <v>0.13</v>
      </c>
      <c r="M31">
        <v>0.15</v>
      </c>
      <c r="N31">
        <v>3.1</v>
      </c>
      <c r="O31">
        <v>1.01</v>
      </c>
      <c r="P31">
        <v>0.02</v>
      </c>
      <c r="Q31">
        <v>4.4000000000000004</v>
      </c>
      <c r="R31">
        <v>0.44</v>
      </c>
      <c r="S31">
        <v>2.29</v>
      </c>
      <c r="T31">
        <v>0.9</v>
      </c>
      <c r="U31" s="1" t="s">
        <v>26</v>
      </c>
    </row>
    <row r="32" spans="1:21" x14ac:dyDescent="0.3">
      <c r="A32" s="1" t="s">
        <v>61</v>
      </c>
      <c r="B32" s="1" t="s">
        <v>21</v>
      </c>
      <c r="C32">
        <v>28.29</v>
      </c>
      <c r="D32">
        <v>0.83</v>
      </c>
      <c r="E32" s="1">
        <v>23593.8</v>
      </c>
      <c r="F32">
        <v>0.74</v>
      </c>
      <c r="G32">
        <v>0.27</v>
      </c>
      <c r="H32">
        <v>0.27</v>
      </c>
      <c r="I32">
        <v>4.21</v>
      </c>
      <c r="J32">
        <v>0.08</v>
      </c>
      <c r="K32">
        <v>5.61</v>
      </c>
      <c r="L32">
        <v>0.09</v>
      </c>
      <c r="M32">
        <v>0.12</v>
      </c>
      <c r="N32">
        <v>7.0000000000000007E-2</v>
      </c>
      <c r="O32">
        <v>0.18</v>
      </c>
      <c r="P32">
        <v>0.04</v>
      </c>
      <c r="Q32">
        <v>0.5</v>
      </c>
      <c r="R32">
        <v>-5.12</v>
      </c>
      <c r="S32">
        <v>3.24</v>
      </c>
      <c r="T32">
        <v>11.28</v>
      </c>
      <c r="U32" s="1" t="s">
        <v>26</v>
      </c>
    </row>
    <row r="33" spans="1:21" x14ac:dyDescent="0.3">
      <c r="A33" s="1" t="s">
        <v>62</v>
      </c>
      <c r="B33" s="1" t="s">
        <v>25</v>
      </c>
      <c r="C33">
        <v>10.6</v>
      </c>
      <c r="D33">
        <v>0.83</v>
      </c>
      <c r="E33" s="1">
        <v>23217.3</v>
      </c>
      <c r="F33">
        <v>1.03</v>
      </c>
      <c r="G33">
        <v>0.25</v>
      </c>
      <c r="H33">
        <v>0.09</v>
      </c>
      <c r="I33">
        <v>2.15</v>
      </c>
      <c r="J33">
        <v>0.31</v>
      </c>
      <c r="K33">
        <v>3.88</v>
      </c>
      <c r="L33">
        <v>0.47</v>
      </c>
      <c r="M33">
        <v>0.06</v>
      </c>
      <c r="N33">
        <v>0.85</v>
      </c>
      <c r="O33">
        <v>7.0000000000000007E-2</v>
      </c>
      <c r="P33">
        <v>0.05</v>
      </c>
      <c r="Q33">
        <v>1.51</v>
      </c>
      <c r="R33">
        <v>-2.37</v>
      </c>
      <c r="S33">
        <v>2.2400000000000002</v>
      </c>
      <c r="T33">
        <v>2.57</v>
      </c>
      <c r="U33" s="1" t="s">
        <v>38</v>
      </c>
    </row>
    <row r="34" spans="1:21" x14ac:dyDescent="0.3">
      <c r="A34" s="1" t="s">
        <v>63</v>
      </c>
      <c r="B34" s="1" t="s">
        <v>64</v>
      </c>
      <c r="C34">
        <v>0.37</v>
      </c>
      <c r="D34">
        <v>0.78</v>
      </c>
      <c r="E34" s="1">
        <v>22647.3</v>
      </c>
      <c r="F34">
        <v>0.97</v>
      </c>
      <c r="G34">
        <v>1.05</v>
      </c>
      <c r="H34">
        <v>0.19</v>
      </c>
      <c r="I34">
        <v>4.46</v>
      </c>
      <c r="J34">
        <v>0.14000000000000001</v>
      </c>
      <c r="K34">
        <v>6.84</v>
      </c>
      <c r="L34">
        <v>0.05</v>
      </c>
      <c r="M34">
        <v>0</v>
      </c>
      <c r="N34">
        <v>1.18</v>
      </c>
      <c r="O34">
        <v>8.27</v>
      </c>
      <c r="P34">
        <v>0.04</v>
      </c>
      <c r="Q34">
        <v>9.5500000000000007</v>
      </c>
      <c r="R34">
        <v>2.71</v>
      </c>
      <c r="S34">
        <v>3.95</v>
      </c>
      <c r="T34">
        <v>0.72</v>
      </c>
      <c r="U34" s="1" t="s">
        <v>26</v>
      </c>
    </row>
    <row r="35" spans="1:21" x14ac:dyDescent="0.3">
      <c r="A35" s="1" t="s">
        <v>65</v>
      </c>
      <c r="B35" s="1" t="s">
        <v>21</v>
      </c>
      <c r="C35">
        <v>3.31</v>
      </c>
      <c r="D35">
        <v>0.79</v>
      </c>
      <c r="E35" s="1">
        <v>22622.799999999999</v>
      </c>
      <c r="F35">
        <v>0.56999999999999995</v>
      </c>
      <c r="G35">
        <v>0.4</v>
      </c>
      <c r="H35">
        <v>0.15</v>
      </c>
      <c r="I35">
        <v>5.8</v>
      </c>
      <c r="J35">
        <v>0.4</v>
      </c>
      <c r="K35">
        <v>7.52</v>
      </c>
      <c r="L35">
        <v>7.0000000000000007E-2</v>
      </c>
      <c r="M35">
        <v>0.04</v>
      </c>
      <c r="N35">
        <v>0</v>
      </c>
      <c r="O35">
        <v>1.61</v>
      </c>
      <c r="P35">
        <v>0.19</v>
      </c>
      <c r="Q35">
        <v>1.92</v>
      </c>
      <c r="R35">
        <v>-5.6</v>
      </c>
      <c r="S35">
        <v>4.34</v>
      </c>
      <c r="T35">
        <v>3.93</v>
      </c>
      <c r="U35" s="1" t="s">
        <v>51</v>
      </c>
    </row>
    <row r="36" spans="1:21" x14ac:dyDescent="0.3">
      <c r="A36" s="1" t="s">
        <v>66</v>
      </c>
      <c r="B36" s="1" t="s">
        <v>25</v>
      </c>
      <c r="C36">
        <v>10.66</v>
      </c>
      <c r="D36">
        <v>0.87</v>
      </c>
      <c r="E36" s="1">
        <v>21676.3</v>
      </c>
      <c r="F36">
        <v>0.62</v>
      </c>
      <c r="G36">
        <v>0.24</v>
      </c>
      <c r="H36">
        <v>0.74</v>
      </c>
      <c r="I36">
        <v>3.42</v>
      </c>
      <c r="J36">
        <v>0.03</v>
      </c>
      <c r="K36">
        <v>5.19</v>
      </c>
      <c r="L36">
        <v>0.94</v>
      </c>
      <c r="M36">
        <v>7.0000000000000007E-2</v>
      </c>
      <c r="N36">
        <v>1.31</v>
      </c>
      <c r="O36">
        <v>0</v>
      </c>
      <c r="P36">
        <v>0.13</v>
      </c>
      <c r="Q36">
        <v>2.46</v>
      </c>
      <c r="R36">
        <v>-2.73</v>
      </c>
      <c r="S36">
        <v>3</v>
      </c>
      <c r="T36">
        <v>2.11</v>
      </c>
      <c r="U36" s="1" t="s">
        <v>38</v>
      </c>
    </row>
    <row r="37" spans="1:21" x14ac:dyDescent="0.3">
      <c r="A37" s="1" t="s">
        <v>67</v>
      </c>
      <c r="B37" s="1" t="s">
        <v>64</v>
      </c>
      <c r="C37">
        <v>1.34</v>
      </c>
      <c r="D37">
        <v>0.77</v>
      </c>
      <c r="E37" s="1">
        <v>18310.8</v>
      </c>
      <c r="F37">
        <v>0.46</v>
      </c>
      <c r="G37">
        <v>0.19</v>
      </c>
      <c r="H37">
        <v>0.27</v>
      </c>
      <c r="I37">
        <v>6.89</v>
      </c>
      <c r="J37">
        <v>0.11</v>
      </c>
      <c r="K37">
        <v>7.92</v>
      </c>
      <c r="L37">
        <v>0.04</v>
      </c>
      <c r="M37">
        <v>0.01</v>
      </c>
      <c r="N37">
        <v>0.15</v>
      </c>
      <c r="O37">
        <v>1.37</v>
      </c>
      <c r="P37">
        <v>0</v>
      </c>
      <c r="Q37">
        <v>1.56</v>
      </c>
      <c r="R37">
        <v>-6.36</v>
      </c>
      <c r="S37">
        <v>4.57</v>
      </c>
      <c r="T37">
        <v>5.07</v>
      </c>
      <c r="U37" s="1" t="s">
        <v>51</v>
      </c>
    </row>
    <row r="38" spans="1:21" x14ac:dyDescent="0.3">
      <c r="A38" s="1" t="s">
        <v>68</v>
      </c>
      <c r="B38" s="1" t="s">
        <v>25</v>
      </c>
      <c r="C38">
        <v>5.45</v>
      </c>
      <c r="D38">
        <v>0.84</v>
      </c>
      <c r="E38" s="1">
        <v>18103.099999999999</v>
      </c>
      <c r="F38">
        <v>0.31</v>
      </c>
      <c r="G38">
        <v>0.08</v>
      </c>
      <c r="H38">
        <v>0.72</v>
      </c>
      <c r="I38">
        <v>2.82</v>
      </c>
      <c r="J38">
        <v>0.03</v>
      </c>
      <c r="K38">
        <v>4.0599999999999996</v>
      </c>
      <c r="L38">
        <v>0.71</v>
      </c>
      <c r="M38">
        <v>0.06</v>
      </c>
      <c r="N38">
        <v>1.85</v>
      </c>
      <c r="O38">
        <v>0</v>
      </c>
      <c r="P38">
        <v>0.09</v>
      </c>
      <c r="Q38">
        <v>2.71</v>
      </c>
      <c r="R38">
        <v>-1.35</v>
      </c>
      <c r="S38">
        <v>2.35</v>
      </c>
      <c r="T38">
        <v>1.5</v>
      </c>
      <c r="U38" s="1" t="s">
        <v>38</v>
      </c>
    </row>
    <row r="39" spans="1:21" x14ac:dyDescent="0.3">
      <c r="A39" s="1" t="s">
        <v>69</v>
      </c>
      <c r="B39" s="1" t="s">
        <v>64</v>
      </c>
      <c r="C39">
        <v>0.28000000000000003</v>
      </c>
      <c r="D39">
        <v>0.79</v>
      </c>
      <c r="E39" s="1">
        <v>15722.8</v>
      </c>
      <c r="F39">
        <v>0.56000000000000005</v>
      </c>
      <c r="G39">
        <v>0.24</v>
      </c>
      <c r="H39">
        <v>0.14000000000000001</v>
      </c>
      <c r="I39">
        <v>3.28</v>
      </c>
      <c r="J39">
        <v>0.22</v>
      </c>
      <c r="K39">
        <v>4.4800000000000004</v>
      </c>
      <c r="L39">
        <v>0.08</v>
      </c>
      <c r="M39">
        <v>0</v>
      </c>
      <c r="N39">
        <v>0.02</v>
      </c>
      <c r="O39">
        <v>0.04</v>
      </c>
      <c r="P39">
        <v>0.04</v>
      </c>
      <c r="Q39">
        <v>0.19</v>
      </c>
      <c r="R39">
        <v>-4.29</v>
      </c>
      <c r="S39">
        <v>2.58</v>
      </c>
      <c r="T39">
        <v>23.79</v>
      </c>
      <c r="U39" s="1" t="s">
        <v>38</v>
      </c>
    </row>
    <row r="40" spans="1:21" x14ac:dyDescent="0.3">
      <c r="A40" s="1" t="s">
        <v>70</v>
      </c>
      <c r="B40" s="1" t="s">
        <v>64</v>
      </c>
      <c r="C40">
        <v>17.46</v>
      </c>
      <c r="D40">
        <v>0.83</v>
      </c>
      <c r="E40" s="1">
        <v>14525.8</v>
      </c>
      <c r="F40">
        <v>0.61</v>
      </c>
      <c r="G40">
        <v>0.33</v>
      </c>
      <c r="H40">
        <v>0.99</v>
      </c>
      <c r="I40">
        <v>2.04</v>
      </c>
      <c r="J40">
        <v>0.25</v>
      </c>
      <c r="K40">
        <v>4.3600000000000003</v>
      </c>
      <c r="L40">
        <v>0.47</v>
      </c>
      <c r="M40">
        <v>0.45</v>
      </c>
      <c r="N40">
        <v>2.19</v>
      </c>
      <c r="O40">
        <v>0.38</v>
      </c>
      <c r="P40">
        <v>0.15</v>
      </c>
      <c r="Q40">
        <v>3.63</v>
      </c>
      <c r="R40">
        <v>-0.73</v>
      </c>
      <c r="S40">
        <v>2.52</v>
      </c>
      <c r="T40">
        <v>1.2</v>
      </c>
      <c r="U40" s="1" t="s">
        <v>37</v>
      </c>
    </row>
    <row r="41" spans="1:21" x14ac:dyDescent="0.3">
      <c r="A41" s="1" t="s">
        <v>71</v>
      </c>
      <c r="B41" s="1" t="s">
        <v>22</v>
      </c>
      <c r="C41">
        <v>4.3099999999999996</v>
      </c>
      <c r="D41">
        <v>0.82</v>
      </c>
      <c r="E41" s="1">
        <v>14522.8</v>
      </c>
      <c r="F41">
        <v>0.74</v>
      </c>
      <c r="G41">
        <v>0.13</v>
      </c>
      <c r="H41">
        <v>0.72</v>
      </c>
      <c r="I41">
        <v>2.21</v>
      </c>
      <c r="J41">
        <v>0.06</v>
      </c>
      <c r="K41">
        <v>3.92</v>
      </c>
      <c r="L41">
        <v>0.68</v>
      </c>
      <c r="M41">
        <v>0.19</v>
      </c>
      <c r="N41">
        <v>1.55</v>
      </c>
      <c r="O41">
        <v>0.33</v>
      </c>
      <c r="P41">
        <v>0.06</v>
      </c>
      <c r="Q41">
        <v>2.8</v>
      </c>
      <c r="R41">
        <v>-1.1200000000000001</v>
      </c>
      <c r="S41">
        <v>2.27</v>
      </c>
      <c r="T41">
        <v>1.4</v>
      </c>
      <c r="U41" s="1" t="s">
        <v>37</v>
      </c>
    </row>
    <row r="42" spans="1:21" x14ac:dyDescent="0.3">
      <c r="A42" s="1" t="s">
        <v>72</v>
      </c>
      <c r="B42" s="1" t="s">
        <v>25</v>
      </c>
      <c r="C42">
        <v>3.03</v>
      </c>
      <c r="D42">
        <v>0.83</v>
      </c>
      <c r="E42" s="1">
        <v>14373.7</v>
      </c>
      <c r="F42">
        <v>1.89</v>
      </c>
      <c r="G42">
        <v>0.21</v>
      </c>
      <c r="H42">
        <v>1.28</v>
      </c>
      <c r="I42">
        <v>2.15</v>
      </c>
      <c r="J42">
        <v>0.16</v>
      </c>
      <c r="K42">
        <v>5.83</v>
      </c>
      <c r="L42">
        <v>3.03</v>
      </c>
      <c r="M42">
        <v>0.11</v>
      </c>
      <c r="N42">
        <v>2.09</v>
      </c>
      <c r="O42">
        <v>0.3</v>
      </c>
      <c r="P42">
        <v>0.15</v>
      </c>
      <c r="Q42">
        <v>5.67</v>
      </c>
      <c r="R42">
        <v>-0.17</v>
      </c>
      <c r="S42">
        <v>3.37</v>
      </c>
      <c r="T42">
        <v>1.03</v>
      </c>
      <c r="U42" s="1" t="s">
        <v>38</v>
      </c>
    </row>
    <row r="43" spans="1:21" x14ac:dyDescent="0.3">
      <c r="A43" s="1" t="s">
        <v>73</v>
      </c>
      <c r="B43" s="1" t="s">
        <v>64</v>
      </c>
      <c r="C43">
        <v>3.4</v>
      </c>
      <c r="D43">
        <v>0.79</v>
      </c>
      <c r="E43" s="1">
        <v>14238.1</v>
      </c>
      <c r="F43">
        <v>0.19</v>
      </c>
      <c r="G43">
        <v>0.98</v>
      </c>
      <c r="H43">
        <v>0.55000000000000004</v>
      </c>
      <c r="I43">
        <v>0.98</v>
      </c>
      <c r="J43">
        <v>0.05</v>
      </c>
      <c r="K43">
        <v>2.91</v>
      </c>
      <c r="L43">
        <v>1.89</v>
      </c>
      <c r="M43">
        <v>4.8600000000000003</v>
      </c>
      <c r="N43">
        <v>1.22</v>
      </c>
      <c r="O43">
        <v>2.1800000000000002</v>
      </c>
      <c r="P43">
        <v>0.17</v>
      </c>
      <c r="Q43">
        <v>10.32</v>
      </c>
      <c r="R43">
        <v>7.41</v>
      </c>
      <c r="S43">
        <v>1.68</v>
      </c>
      <c r="T43">
        <v>0.28000000000000003</v>
      </c>
      <c r="U43" s="1" t="s">
        <v>51</v>
      </c>
    </row>
    <row r="44" spans="1:21" x14ac:dyDescent="0.3">
      <c r="A44" s="1" t="s">
        <v>74</v>
      </c>
      <c r="B44" s="1" t="s">
        <v>25</v>
      </c>
      <c r="C44">
        <v>9.98</v>
      </c>
      <c r="D44">
        <v>0.82</v>
      </c>
      <c r="E44" s="1">
        <v>13964.2</v>
      </c>
      <c r="F44">
        <v>0.42</v>
      </c>
      <c r="G44">
        <v>0.08</v>
      </c>
      <c r="H44">
        <v>0.36</v>
      </c>
      <c r="I44">
        <v>1.9</v>
      </c>
      <c r="J44">
        <v>0.02</v>
      </c>
      <c r="K44">
        <v>2.92</v>
      </c>
      <c r="L44">
        <v>1.28</v>
      </c>
      <c r="M44">
        <v>0.06</v>
      </c>
      <c r="N44">
        <v>0.69</v>
      </c>
      <c r="O44">
        <v>0</v>
      </c>
      <c r="P44">
        <v>0.13</v>
      </c>
      <c r="Q44">
        <v>2.17</v>
      </c>
      <c r="R44">
        <v>-0.75</v>
      </c>
      <c r="S44">
        <v>1.69</v>
      </c>
      <c r="T44">
        <v>1.34</v>
      </c>
      <c r="U44" s="1" t="s">
        <v>38</v>
      </c>
    </row>
    <row r="45" spans="1:21" x14ac:dyDescent="0.3">
      <c r="A45" s="1" t="s">
        <v>75</v>
      </c>
      <c r="B45" s="1" t="s">
        <v>25</v>
      </c>
      <c r="C45">
        <v>38.21</v>
      </c>
      <c r="D45">
        <v>0.84</v>
      </c>
      <c r="E45" s="1">
        <v>13769.5</v>
      </c>
      <c r="F45">
        <v>0.84</v>
      </c>
      <c r="G45">
        <v>0.04</v>
      </c>
      <c r="H45">
        <v>0.78</v>
      </c>
      <c r="I45">
        <v>2.64</v>
      </c>
      <c r="J45">
        <v>0.05</v>
      </c>
      <c r="K45">
        <v>4.4400000000000004</v>
      </c>
      <c r="L45">
        <v>1.05</v>
      </c>
      <c r="M45">
        <v>7.0000000000000007E-2</v>
      </c>
      <c r="N45">
        <v>0.77</v>
      </c>
      <c r="O45">
        <v>0.11</v>
      </c>
      <c r="P45">
        <v>0.09</v>
      </c>
      <c r="Q45">
        <v>2.08</v>
      </c>
      <c r="R45">
        <v>-2.36</v>
      </c>
      <c r="S45">
        <v>2.57</v>
      </c>
      <c r="T45">
        <v>2.14</v>
      </c>
      <c r="U45" s="1" t="s">
        <v>37</v>
      </c>
    </row>
    <row r="46" spans="1:21" x14ac:dyDescent="0.3">
      <c r="A46" s="1" t="s">
        <v>76</v>
      </c>
      <c r="B46" s="1" t="s">
        <v>25</v>
      </c>
      <c r="C46">
        <v>2.06</v>
      </c>
      <c r="D46">
        <v>0.81</v>
      </c>
      <c r="E46" s="1">
        <v>13732</v>
      </c>
      <c r="F46">
        <v>2.2799999999999998</v>
      </c>
      <c r="G46">
        <v>0.09</v>
      </c>
      <c r="H46">
        <v>2.02</v>
      </c>
      <c r="I46">
        <v>1.66</v>
      </c>
      <c r="J46">
        <v>0.11</v>
      </c>
      <c r="K46">
        <v>6.29</v>
      </c>
      <c r="L46">
        <v>3.1</v>
      </c>
      <c r="M46">
        <v>0.31</v>
      </c>
      <c r="N46">
        <v>4.08</v>
      </c>
      <c r="O46">
        <v>1.93</v>
      </c>
      <c r="P46">
        <v>0.13</v>
      </c>
      <c r="Q46">
        <v>9.5500000000000007</v>
      </c>
      <c r="R46">
        <v>3.26</v>
      </c>
      <c r="S46">
        <v>3.63</v>
      </c>
      <c r="T46">
        <v>0.66</v>
      </c>
      <c r="U46" s="1" t="s">
        <v>38</v>
      </c>
    </row>
    <row r="47" spans="1:21" x14ac:dyDescent="0.3">
      <c r="A47" s="1" t="s">
        <v>77</v>
      </c>
      <c r="B47" s="1" t="s">
        <v>64</v>
      </c>
      <c r="C47">
        <v>41.09</v>
      </c>
      <c r="D47">
        <v>0.83</v>
      </c>
      <c r="E47" s="1">
        <v>13540</v>
      </c>
      <c r="F47">
        <v>0.78</v>
      </c>
      <c r="G47">
        <v>0.79</v>
      </c>
      <c r="H47">
        <v>0.28999999999999998</v>
      </c>
      <c r="I47">
        <v>1.08</v>
      </c>
      <c r="J47">
        <v>0.1</v>
      </c>
      <c r="K47">
        <v>3.14</v>
      </c>
      <c r="L47">
        <v>2.64</v>
      </c>
      <c r="M47">
        <v>1.86</v>
      </c>
      <c r="N47">
        <v>0.66</v>
      </c>
      <c r="O47">
        <v>1.67</v>
      </c>
      <c r="P47">
        <v>0.1</v>
      </c>
      <c r="Q47">
        <v>6.92</v>
      </c>
      <c r="R47">
        <v>3.78</v>
      </c>
      <c r="S47">
        <v>1.82</v>
      </c>
      <c r="T47">
        <v>0.45</v>
      </c>
      <c r="U47" s="1" t="s">
        <v>37</v>
      </c>
    </row>
    <row r="48" spans="1:21" x14ac:dyDescent="0.3">
      <c r="A48" s="1" t="s">
        <v>78</v>
      </c>
      <c r="B48" s="1" t="s">
        <v>22</v>
      </c>
      <c r="C48">
        <v>143.16999999999999</v>
      </c>
      <c r="D48">
        <v>0.79</v>
      </c>
      <c r="E48" s="1">
        <v>13320.2</v>
      </c>
      <c r="F48">
        <v>0.77</v>
      </c>
      <c r="G48">
        <v>0.15</v>
      </c>
      <c r="H48">
        <v>0.67</v>
      </c>
      <c r="I48">
        <v>3.87</v>
      </c>
      <c r="J48">
        <v>0.19</v>
      </c>
      <c r="K48">
        <v>5.69</v>
      </c>
      <c r="L48">
        <v>0.85</v>
      </c>
      <c r="M48">
        <v>0.34</v>
      </c>
      <c r="N48">
        <v>4.38</v>
      </c>
      <c r="O48">
        <v>1.19</v>
      </c>
      <c r="P48">
        <v>0.03</v>
      </c>
      <c r="Q48">
        <v>6.79</v>
      </c>
      <c r="R48">
        <v>1.1000000000000001</v>
      </c>
      <c r="S48">
        <v>3.29</v>
      </c>
      <c r="T48">
        <v>0.84</v>
      </c>
      <c r="U48" s="1" t="s">
        <v>37</v>
      </c>
    </row>
    <row r="49" spans="1:21" x14ac:dyDescent="0.3">
      <c r="A49" s="1" t="s">
        <v>79</v>
      </c>
      <c r="B49" s="1" t="s">
        <v>64</v>
      </c>
      <c r="C49">
        <v>198.66</v>
      </c>
      <c r="D49">
        <v>0.75</v>
      </c>
      <c r="E49" s="1">
        <v>13237.6</v>
      </c>
      <c r="F49">
        <v>0.62</v>
      </c>
      <c r="G49">
        <v>0.85</v>
      </c>
      <c r="H49">
        <v>0.6</v>
      </c>
      <c r="I49">
        <v>0.91</v>
      </c>
      <c r="J49">
        <v>0.04</v>
      </c>
      <c r="K49">
        <v>3.11</v>
      </c>
      <c r="L49">
        <v>1</v>
      </c>
      <c r="M49">
        <v>1</v>
      </c>
      <c r="N49">
        <v>6.82</v>
      </c>
      <c r="O49">
        <v>0.17</v>
      </c>
      <c r="P49">
        <v>0.09</v>
      </c>
      <c r="Q49">
        <v>9.08</v>
      </c>
      <c r="R49">
        <v>5.97</v>
      </c>
      <c r="S49">
        <v>1.8</v>
      </c>
      <c r="T49">
        <v>0.34</v>
      </c>
      <c r="U49" s="1" t="s">
        <v>38</v>
      </c>
    </row>
    <row r="50" spans="1:21" x14ac:dyDescent="0.3">
      <c r="A50" s="1" t="s">
        <v>80</v>
      </c>
      <c r="B50" s="1" t="s">
        <v>64</v>
      </c>
      <c r="C50">
        <v>0.05</v>
      </c>
      <c r="D50">
        <v>0.74</v>
      </c>
      <c r="E50" s="1">
        <v>12952.5</v>
      </c>
      <c r="F50">
        <v>0.51</v>
      </c>
      <c r="G50">
        <v>0.18</v>
      </c>
      <c r="H50">
        <v>0.09</v>
      </c>
      <c r="I50">
        <v>3.34</v>
      </c>
      <c r="J50">
        <v>0.81</v>
      </c>
      <c r="K50">
        <v>4.9400000000000004</v>
      </c>
      <c r="L50">
        <v>0.06</v>
      </c>
      <c r="M50">
        <v>0.01</v>
      </c>
      <c r="N50">
        <v>0.17</v>
      </c>
      <c r="O50">
        <v>0.38</v>
      </c>
      <c r="P50">
        <v>0</v>
      </c>
      <c r="Q50">
        <v>0.62</v>
      </c>
      <c r="R50">
        <v>-4.3099999999999996</v>
      </c>
      <c r="S50">
        <v>2.85</v>
      </c>
      <c r="T50">
        <v>7.92</v>
      </c>
      <c r="U50" s="1" t="s">
        <v>26</v>
      </c>
    </row>
    <row r="51" spans="1:21" x14ac:dyDescent="0.3">
      <c r="A51" s="1" t="s">
        <v>81</v>
      </c>
      <c r="B51" s="1" t="s">
        <v>60</v>
      </c>
      <c r="C51">
        <v>1.63</v>
      </c>
      <c r="D51">
        <v>0.67</v>
      </c>
      <c r="E51" s="1">
        <v>11989</v>
      </c>
      <c r="F51">
        <v>0.53</v>
      </c>
      <c r="G51">
        <v>0.13</v>
      </c>
      <c r="H51">
        <v>0.79</v>
      </c>
      <c r="I51">
        <v>0.43</v>
      </c>
      <c r="J51">
        <v>0.11</v>
      </c>
      <c r="K51">
        <v>2.02</v>
      </c>
      <c r="L51">
        <v>0.25</v>
      </c>
      <c r="M51">
        <v>3.6</v>
      </c>
      <c r="N51">
        <v>19.5</v>
      </c>
      <c r="O51">
        <v>2.93</v>
      </c>
      <c r="P51">
        <v>0.03</v>
      </c>
      <c r="Q51">
        <v>26.31</v>
      </c>
      <c r="R51">
        <v>24.29</v>
      </c>
      <c r="S51">
        <v>1.1599999999999999</v>
      </c>
      <c r="T51">
        <v>0.08</v>
      </c>
      <c r="U51" s="1" t="s">
        <v>26</v>
      </c>
    </row>
    <row r="52" spans="1:21" x14ac:dyDescent="0.3">
      <c r="A52" s="1" t="s">
        <v>82</v>
      </c>
      <c r="B52" s="1" t="s">
        <v>21</v>
      </c>
      <c r="C52">
        <v>16.27</v>
      </c>
      <c r="D52">
        <v>0.78</v>
      </c>
      <c r="E52" s="1">
        <v>11278</v>
      </c>
      <c r="F52">
        <v>0.57999999999999996</v>
      </c>
      <c r="G52">
        <v>0.19</v>
      </c>
      <c r="H52">
        <v>0.12</v>
      </c>
      <c r="I52">
        <v>4.59</v>
      </c>
      <c r="J52">
        <v>0.03</v>
      </c>
      <c r="K52">
        <v>5.55</v>
      </c>
      <c r="L52">
        <v>1.1399999999999999</v>
      </c>
      <c r="M52">
        <v>1.93</v>
      </c>
      <c r="N52">
        <v>0.24</v>
      </c>
      <c r="O52">
        <v>0.06</v>
      </c>
      <c r="P52">
        <v>0.03</v>
      </c>
      <c r="Q52">
        <v>3.41</v>
      </c>
      <c r="R52">
        <v>-2.14</v>
      </c>
      <c r="S52">
        <v>3.2</v>
      </c>
      <c r="T52">
        <v>1.63</v>
      </c>
      <c r="U52" s="1" t="s">
        <v>26</v>
      </c>
    </row>
    <row r="53" spans="1:21" x14ac:dyDescent="0.3">
      <c r="A53" s="1" t="s">
        <v>83</v>
      </c>
      <c r="B53" s="1" t="s">
        <v>21</v>
      </c>
      <c r="C53">
        <v>74</v>
      </c>
      <c r="D53">
        <v>0.76</v>
      </c>
      <c r="E53" s="1">
        <v>10437.700000000001</v>
      </c>
      <c r="F53">
        <v>0.87</v>
      </c>
      <c r="G53">
        <v>0.12</v>
      </c>
      <c r="H53">
        <v>0.34</v>
      </c>
      <c r="I53">
        <v>1.92</v>
      </c>
      <c r="J53">
        <v>0.04</v>
      </c>
      <c r="K53">
        <v>3.33</v>
      </c>
      <c r="L53">
        <v>0.75</v>
      </c>
      <c r="M53">
        <v>0.09</v>
      </c>
      <c r="N53">
        <v>0.6</v>
      </c>
      <c r="O53">
        <v>0.04</v>
      </c>
      <c r="P53">
        <v>0.04</v>
      </c>
      <c r="Q53">
        <v>1.52</v>
      </c>
      <c r="R53">
        <v>-1.81</v>
      </c>
      <c r="S53">
        <v>1.92</v>
      </c>
      <c r="T53">
        <v>2.19</v>
      </c>
      <c r="U53" s="1" t="s">
        <v>38</v>
      </c>
    </row>
    <row r="54" spans="1:21" x14ac:dyDescent="0.3">
      <c r="A54" s="1" t="s">
        <v>84</v>
      </c>
      <c r="B54" s="1" t="s">
        <v>24</v>
      </c>
      <c r="C54">
        <v>29.24</v>
      </c>
      <c r="D54">
        <v>0.77</v>
      </c>
      <c r="E54" s="1">
        <v>10252.6</v>
      </c>
      <c r="F54">
        <v>0.67</v>
      </c>
      <c r="G54">
        <v>0.12</v>
      </c>
      <c r="H54">
        <v>0.38</v>
      </c>
      <c r="I54">
        <v>2.1</v>
      </c>
      <c r="J54">
        <v>0.36</v>
      </c>
      <c r="K54">
        <v>3.71</v>
      </c>
      <c r="L54">
        <v>0.75</v>
      </c>
      <c r="M54">
        <v>0.01</v>
      </c>
      <c r="N54">
        <v>0.73</v>
      </c>
      <c r="O54">
        <v>0.84</v>
      </c>
      <c r="P54">
        <v>7.0000000000000007E-2</v>
      </c>
      <c r="Q54">
        <v>2.41</v>
      </c>
      <c r="R54">
        <v>-1.3</v>
      </c>
      <c r="S54">
        <v>2.14</v>
      </c>
      <c r="T54">
        <v>1.54</v>
      </c>
      <c r="U54" s="1" t="s">
        <v>51</v>
      </c>
    </row>
    <row r="55" spans="1:21" x14ac:dyDescent="0.3">
      <c r="A55" s="1" t="s">
        <v>85</v>
      </c>
      <c r="B55" s="1" t="s">
        <v>64</v>
      </c>
      <c r="C55">
        <v>29.96</v>
      </c>
      <c r="D55">
        <v>0.76384600000000002</v>
      </c>
      <c r="E55" s="1">
        <v>10237.799999999999</v>
      </c>
      <c r="F55">
        <v>0.45</v>
      </c>
      <c r="G55">
        <v>0.74</v>
      </c>
      <c r="H55">
        <v>0.12</v>
      </c>
      <c r="I55">
        <v>2.13</v>
      </c>
      <c r="J55">
        <v>0.09</v>
      </c>
      <c r="K55">
        <v>3.57</v>
      </c>
      <c r="L55">
        <v>0.14000000000000001</v>
      </c>
      <c r="M55">
        <v>0.56999999999999995</v>
      </c>
      <c r="N55">
        <v>1.79</v>
      </c>
      <c r="O55">
        <v>0.24</v>
      </c>
      <c r="P55">
        <v>0.04</v>
      </c>
      <c r="Q55">
        <v>2.78</v>
      </c>
      <c r="R55">
        <v>-0.79</v>
      </c>
      <c r="S55">
        <v>2.06</v>
      </c>
      <c r="T55">
        <v>1.28</v>
      </c>
      <c r="U55" s="1" t="s">
        <v>38</v>
      </c>
    </row>
    <row r="56" spans="1:21" x14ac:dyDescent="0.3">
      <c r="A56" s="1" t="s">
        <v>86</v>
      </c>
      <c r="B56" s="1" t="s">
        <v>64</v>
      </c>
      <c r="C56">
        <v>120.85</v>
      </c>
      <c r="D56">
        <v>0.75</v>
      </c>
      <c r="E56" s="1">
        <v>10123.9</v>
      </c>
      <c r="F56">
        <v>0.55000000000000004</v>
      </c>
      <c r="G56">
        <v>0.24</v>
      </c>
      <c r="H56">
        <v>0.25</v>
      </c>
      <c r="I56">
        <v>1.74</v>
      </c>
      <c r="J56">
        <v>0.06</v>
      </c>
      <c r="K56">
        <v>2.89</v>
      </c>
      <c r="L56">
        <v>0.37</v>
      </c>
      <c r="M56">
        <v>0.24</v>
      </c>
      <c r="N56">
        <v>0.47</v>
      </c>
      <c r="O56">
        <v>0.14000000000000001</v>
      </c>
      <c r="P56">
        <v>0.05</v>
      </c>
      <c r="Q56">
        <v>1.27</v>
      </c>
      <c r="R56">
        <v>-1.62</v>
      </c>
      <c r="S56">
        <v>1.67</v>
      </c>
      <c r="T56">
        <v>2.27</v>
      </c>
      <c r="U56" s="1" t="s">
        <v>38</v>
      </c>
    </row>
    <row r="57" spans="1:21" x14ac:dyDescent="0.3">
      <c r="A57" s="1" t="s">
        <v>87</v>
      </c>
      <c r="B57" s="1" t="s">
        <v>25</v>
      </c>
      <c r="C57">
        <v>21.76</v>
      </c>
      <c r="D57">
        <v>0.79</v>
      </c>
      <c r="E57" s="1">
        <v>9213.94</v>
      </c>
      <c r="F57">
        <v>0.72</v>
      </c>
      <c r="G57">
        <v>0.05</v>
      </c>
      <c r="H57">
        <v>0.33</v>
      </c>
      <c r="I57">
        <v>1.46</v>
      </c>
      <c r="J57">
        <v>0.03</v>
      </c>
      <c r="K57">
        <v>2.71</v>
      </c>
      <c r="L57">
        <v>0.87</v>
      </c>
      <c r="M57">
        <v>0.11</v>
      </c>
      <c r="N57">
        <v>1.1399999999999999</v>
      </c>
      <c r="O57">
        <v>0.08</v>
      </c>
      <c r="P57">
        <v>0.12</v>
      </c>
      <c r="Q57">
        <v>2.3199999999999998</v>
      </c>
      <c r="R57">
        <v>-0.39</v>
      </c>
      <c r="S57">
        <v>1.56</v>
      </c>
      <c r="T57">
        <v>1.17</v>
      </c>
      <c r="U57" s="1" t="s">
        <v>38</v>
      </c>
    </row>
    <row r="58" spans="1:21" x14ac:dyDescent="0.3">
      <c r="A58" s="1" t="s">
        <v>88</v>
      </c>
      <c r="B58" s="1" t="s">
        <v>21</v>
      </c>
      <c r="C58">
        <v>4.6500000000000004</v>
      </c>
      <c r="D58">
        <v>0.76</v>
      </c>
      <c r="E58" s="1">
        <v>9143.86</v>
      </c>
      <c r="F58">
        <v>0.67</v>
      </c>
      <c r="G58">
        <v>0.3</v>
      </c>
      <c r="H58">
        <v>0.25</v>
      </c>
      <c r="I58">
        <v>2.52</v>
      </c>
      <c r="J58">
        <v>0.05</v>
      </c>
      <c r="K58">
        <v>3.84</v>
      </c>
      <c r="L58">
        <v>0.16</v>
      </c>
      <c r="M58">
        <v>0.04</v>
      </c>
      <c r="N58">
        <v>0.06</v>
      </c>
      <c r="O58">
        <v>0.01</v>
      </c>
      <c r="P58">
        <v>0.06</v>
      </c>
      <c r="Q58">
        <v>0.33</v>
      </c>
      <c r="R58">
        <v>-3.51</v>
      </c>
      <c r="S58">
        <v>2.2200000000000002</v>
      </c>
      <c r="T58">
        <v>11.7</v>
      </c>
      <c r="U58" s="1" t="s">
        <v>37</v>
      </c>
    </row>
    <row r="59" spans="1:21" x14ac:dyDescent="0.3">
      <c r="A59" s="1" t="s">
        <v>89</v>
      </c>
      <c r="B59" s="1" t="s">
        <v>64</v>
      </c>
      <c r="C59">
        <v>4.8</v>
      </c>
      <c r="D59">
        <v>0.76</v>
      </c>
      <c r="E59" s="1">
        <v>8979.9599999999991</v>
      </c>
      <c r="F59">
        <v>0.4</v>
      </c>
      <c r="G59">
        <v>0.21</v>
      </c>
      <c r="H59">
        <v>0.68</v>
      </c>
      <c r="I59">
        <v>1.37</v>
      </c>
      <c r="J59">
        <v>0.08</v>
      </c>
      <c r="K59">
        <v>2.84</v>
      </c>
      <c r="L59">
        <v>0.38</v>
      </c>
      <c r="M59">
        <v>0.3</v>
      </c>
      <c r="N59">
        <v>0.63</v>
      </c>
      <c r="O59">
        <v>0.12</v>
      </c>
      <c r="P59">
        <v>0.1</v>
      </c>
      <c r="Q59">
        <v>1.53</v>
      </c>
      <c r="R59">
        <v>-1.31</v>
      </c>
      <c r="S59">
        <v>1.64</v>
      </c>
      <c r="T59">
        <v>1.86</v>
      </c>
      <c r="U59" s="1" t="s">
        <v>38</v>
      </c>
    </row>
    <row r="60" spans="1:21" x14ac:dyDescent="0.3">
      <c r="A60" s="1" t="s">
        <v>90</v>
      </c>
      <c r="B60" s="1" t="s">
        <v>60</v>
      </c>
      <c r="C60">
        <v>1.24</v>
      </c>
      <c r="D60">
        <v>0.77</v>
      </c>
      <c r="E60" s="1">
        <v>8811.15</v>
      </c>
      <c r="F60">
        <v>0.52</v>
      </c>
      <c r="G60">
        <v>0.22</v>
      </c>
      <c r="H60">
        <v>0.18</v>
      </c>
      <c r="I60">
        <v>1.99</v>
      </c>
      <c r="J60">
        <v>0.55000000000000004</v>
      </c>
      <c r="K60">
        <v>3.46</v>
      </c>
      <c r="L60">
        <v>0.14000000000000001</v>
      </c>
      <c r="M60">
        <v>0</v>
      </c>
      <c r="N60">
        <v>0.01</v>
      </c>
      <c r="O60">
        <v>0.56000000000000005</v>
      </c>
      <c r="P60">
        <v>0</v>
      </c>
      <c r="Q60">
        <v>0.71</v>
      </c>
      <c r="R60">
        <v>-2.75</v>
      </c>
      <c r="S60">
        <v>2</v>
      </c>
      <c r="T60">
        <v>4.8899999999999997</v>
      </c>
      <c r="U60" s="1" t="s">
        <v>38</v>
      </c>
    </row>
    <row r="61" spans="1:21" x14ac:dyDescent="0.3">
      <c r="A61" s="1" t="s">
        <v>91</v>
      </c>
      <c r="B61" s="1" t="s">
        <v>64</v>
      </c>
      <c r="C61">
        <v>3.8</v>
      </c>
      <c r="D61">
        <v>0.77</v>
      </c>
      <c r="E61" s="1">
        <v>8410.77</v>
      </c>
      <c r="F61">
        <v>0.36</v>
      </c>
      <c r="G61">
        <v>0.4</v>
      </c>
      <c r="H61">
        <v>0.19</v>
      </c>
      <c r="I61">
        <v>1.44</v>
      </c>
      <c r="J61">
        <v>0.37</v>
      </c>
      <c r="K61">
        <v>2.79</v>
      </c>
      <c r="L61">
        <v>0.14000000000000001</v>
      </c>
      <c r="M61">
        <v>0.43</v>
      </c>
      <c r="N61">
        <v>1.74</v>
      </c>
      <c r="O61">
        <v>0.6</v>
      </c>
      <c r="P61">
        <v>0.02</v>
      </c>
      <c r="Q61">
        <v>2.94</v>
      </c>
      <c r="R61">
        <v>0.15</v>
      </c>
      <c r="S61">
        <v>1.61</v>
      </c>
      <c r="T61">
        <v>0.95</v>
      </c>
      <c r="U61" s="1" t="s">
        <v>51</v>
      </c>
    </row>
    <row r="62" spans="1:21" x14ac:dyDescent="0.3">
      <c r="A62" s="1" t="s">
        <v>92</v>
      </c>
      <c r="B62" s="1" t="s">
        <v>64</v>
      </c>
      <c r="C62">
        <v>0.54</v>
      </c>
      <c r="D62">
        <v>0.71</v>
      </c>
      <c r="E62" s="1">
        <v>8190.7</v>
      </c>
      <c r="F62">
        <v>0.43</v>
      </c>
      <c r="G62">
        <v>0.06</v>
      </c>
      <c r="H62">
        <v>0.52</v>
      </c>
      <c r="I62">
        <v>3.01</v>
      </c>
      <c r="J62">
        <v>0.14000000000000001</v>
      </c>
      <c r="K62">
        <v>4.25</v>
      </c>
      <c r="L62">
        <v>0.3</v>
      </c>
      <c r="M62">
        <v>0.03</v>
      </c>
      <c r="N62">
        <v>81.52</v>
      </c>
      <c r="O62">
        <v>7.39</v>
      </c>
      <c r="P62">
        <v>0.09</v>
      </c>
      <c r="Q62">
        <v>89.33</v>
      </c>
      <c r="R62">
        <v>85.08</v>
      </c>
      <c r="S62">
        <v>2.46</v>
      </c>
      <c r="T62">
        <v>0.05</v>
      </c>
      <c r="U62" s="1" t="s">
        <v>26</v>
      </c>
    </row>
    <row r="63" spans="1:21" x14ac:dyDescent="0.3">
      <c r="A63" s="1" t="s">
        <v>93</v>
      </c>
      <c r="B63" s="1" t="s">
        <v>60</v>
      </c>
      <c r="C63">
        <v>52.39</v>
      </c>
      <c r="D63">
        <v>0.66</v>
      </c>
      <c r="E63" s="1">
        <v>8089.87</v>
      </c>
      <c r="F63">
        <v>0.44</v>
      </c>
      <c r="G63">
        <v>0.11</v>
      </c>
      <c r="H63">
        <v>0.28999999999999998</v>
      </c>
      <c r="I63">
        <v>2.34</v>
      </c>
      <c r="J63">
        <v>0.08</v>
      </c>
      <c r="K63">
        <v>3.31</v>
      </c>
      <c r="L63">
        <v>0.35</v>
      </c>
      <c r="M63">
        <v>0.57999999999999996</v>
      </c>
      <c r="N63">
        <v>0.02</v>
      </c>
      <c r="O63">
        <v>0.17</v>
      </c>
      <c r="P63">
        <v>0.04</v>
      </c>
      <c r="Q63">
        <v>1.1499999999999999</v>
      </c>
      <c r="R63">
        <v>-2.16</v>
      </c>
      <c r="S63">
        <v>1.91</v>
      </c>
      <c r="T63">
        <v>2.87</v>
      </c>
      <c r="U63" s="1" t="s">
        <v>38</v>
      </c>
    </row>
    <row r="64" spans="1:21" x14ac:dyDescent="0.3">
      <c r="A64" s="1" t="s">
        <v>94</v>
      </c>
      <c r="B64" s="1" t="s">
        <v>60</v>
      </c>
      <c r="C64">
        <v>2</v>
      </c>
      <c r="D64">
        <v>0.69</v>
      </c>
      <c r="E64" s="1">
        <v>7743.5</v>
      </c>
      <c r="F64">
        <v>0.3</v>
      </c>
      <c r="G64">
        <v>0.89</v>
      </c>
      <c r="H64">
        <v>0.24</v>
      </c>
      <c r="I64">
        <v>2.36</v>
      </c>
      <c r="J64">
        <v>0.01</v>
      </c>
      <c r="K64">
        <v>3.83</v>
      </c>
      <c r="L64">
        <v>0.06</v>
      </c>
      <c r="M64">
        <v>2.4900000000000002</v>
      </c>
      <c r="N64">
        <v>0.63</v>
      </c>
      <c r="O64">
        <v>0.27</v>
      </c>
      <c r="P64">
        <v>0.02</v>
      </c>
      <c r="Q64">
        <v>3.47</v>
      </c>
      <c r="R64">
        <v>-0.35</v>
      </c>
      <c r="S64">
        <v>2.21</v>
      </c>
      <c r="T64">
        <v>1.1000000000000001</v>
      </c>
      <c r="U64" s="1" t="s">
        <v>51</v>
      </c>
    </row>
    <row r="65" spans="1:21" x14ac:dyDescent="0.3">
      <c r="A65" s="1" t="s">
        <v>95</v>
      </c>
      <c r="B65" s="1" t="s">
        <v>64</v>
      </c>
      <c r="C65">
        <v>0.18</v>
      </c>
      <c r="D65">
        <v>0.73</v>
      </c>
      <c r="E65" s="1">
        <v>7737.2</v>
      </c>
      <c r="F65">
        <v>0.38</v>
      </c>
      <c r="G65">
        <v>0.1</v>
      </c>
      <c r="H65">
        <v>0.17</v>
      </c>
      <c r="I65">
        <v>1.56</v>
      </c>
      <c r="J65">
        <v>0.23</v>
      </c>
      <c r="K65">
        <v>2.4500000000000002</v>
      </c>
      <c r="L65">
        <v>0.1</v>
      </c>
      <c r="M65">
        <v>0</v>
      </c>
      <c r="N65">
        <v>0.1</v>
      </c>
      <c r="O65">
        <v>0.14000000000000001</v>
      </c>
      <c r="P65">
        <v>0</v>
      </c>
      <c r="Q65">
        <v>0.34</v>
      </c>
      <c r="R65">
        <v>-2.1</v>
      </c>
      <c r="S65">
        <v>1.41</v>
      </c>
      <c r="T65">
        <v>7.12</v>
      </c>
      <c r="U65" s="1" t="s">
        <v>51</v>
      </c>
    </row>
    <row r="66" spans="1:21" x14ac:dyDescent="0.3">
      <c r="A66" s="1" t="s">
        <v>96</v>
      </c>
      <c r="B66" s="1" t="s">
        <v>25</v>
      </c>
      <c r="C66">
        <v>7.28</v>
      </c>
      <c r="D66">
        <v>0.78</v>
      </c>
      <c r="E66" s="1">
        <v>7615.28</v>
      </c>
      <c r="F66">
        <v>0.6</v>
      </c>
      <c r="G66">
        <v>0.13</v>
      </c>
      <c r="H66">
        <v>0.35</v>
      </c>
      <c r="I66">
        <v>2.08</v>
      </c>
      <c r="J66">
        <v>0.03</v>
      </c>
      <c r="K66">
        <v>3.32</v>
      </c>
      <c r="L66">
        <v>1.33</v>
      </c>
      <c r="M66">
        <v>0.08</v>
      </c>
      <c r="N66">
        <v>1.2</v>
      </c>
      <c r="O66">
        <v>0.12</v>
      </c>
      <c r="P66">
        <v>0.13</v>
      </c>
      <c r="Q66">
        <v>2.86</v>
      </c>
      <c r="R66">
        <v>-0.46</v>
      </c>
      <c r="S66">
        <v>1.92</v>
      </c>
      <c r="T66">
        <v>1.1599999999999999</v>
      </c>
      <c r="U66" s="1" t="s">
        <v>38</v>
      </c>
    </row>
    <row r="67" spans="1:21" x14ac:dyDescent="0.3">
      <c r="A67" s="1" t="s">
        <v>97</v>
      </c>
      <c r="B67" s="1" t="s">
        <v>21</v>
      </c>
      <c r="C67">
        <v>76.42</v>
      </c>
      <c r="D67">
        <v>0.76</v>
      </c>
      <c r="E67" s="1">
        <v>7511.1</v>
      </c>
      <c r="F67">
        <v>0.69</v>
      </c>
      <c r="G67">
        <v>0.09</v>
      </c>
      <c r="H67">
        <v>7.0000000000000007E-2</v>
      </c>
      <c r="I67">
        <v>1.72</v>
      </c>
      <c r="J67">
        <v>0.12</v>
      </c>
      <c r="K67">
        <v>2.79</v>
      </c>
      <c r="L67">
        <v>0.48</v>
      </c>
      <c r="M67">
        <v>7.0000000000000007E-2</v>
      </c>
      <c r="N67">
        <v>0.06</v>
      </c>
      <c r="O67">
        <v>0.19</v>
      </c>
      <c r="P67">
        <v>0.09</v>
      </c>
      <c r="Q67">
        <v>0.9</v>
      </c>
      <c r="R67">
        <v>-1.89</v>
      </c>
      <c r="S67">
        <v>1.61</v>
      </c>
      <c r="T67">
        <v>3.1</v>
      </c>
      <c r="U67" s="1" t="s">
        <v>51</v>
      </c>
    </row>
    <row r="68" spans="1:21" x14ac:dyDescent="0.3">
      <c r="A68" s="1" t="s">
        <v>98</v>
      </c>
      <c r="B68" s="1" t="s">
        <v>64</v>
      </c>
      <c r="C68">
        <v>47.7</v>
      </c>
      <c r="D68">
        <v>0.72</v>
      </c>
      <c r="E68" s="1">
        <v>7305.22</v>
      </c>
      <c r="F68">
        <v>0.35</v>
      </c>
      <c r="G68">
        <v>0.57999999999999996</v>
      </c>
      <c r="H68">
        <v>0.16</v>
      </c>
      <c r="I68">
        <v>0.67</v>
      </c>
      <c r="J68">
        <v>0.03</v>
      </c>
      <c r="K68">
        <v>1.87</v>
      </c>
      <c r="L68">
        <v>0.22</v>
      </c>
      <c r="M68">
        <v>1.1299999999999999</v>
      </c>
      <c r="N68">
        <v>2.09</v>
      </c>
      <c r="O68">
        <v>7.0000000000000007E-2</v>
      </c>
      <c r="P68">
        <v>0.09</v>
      </c>
      <c r="Q68">
        <v>3.6</v>
      </c>
      <c r="R68">
        <v>1.72</v>
      </c>
      <c r="S68">
        <v>1.08</v>
      </c>
      <c r="T68">
        <v>0.52</v>
      </c>
      <c r="U68" s="1" t="s">
        <v>37</v>
      </c>
    </row>
    <row r="69" spans="1:21" x14ac:dyDescent="0.3">
      <c r="A69" s="1" t="s">
        <v>99</v>
      </c>
      <c r="B69" s="1" t="s">
        <v>22</v>
      </c>
      <c r="C69">
        <v>0.62</v>
      </c>
      <c r="D69">
        <v>0.8</v>
      </c>
      <c r="E69" s="1">
        <v>7251.6</v>
      </c>
      <c r="F69">
        <v>0.64</v>
      </c>
      <c r="G69">
        <v>0.33</v>
      </c>
      <c r="H69">
        <v>0.62</v>
      </c>
      <c r="I69">
        <v>2.13</v>
      </c>
      <c r="J69">
        <v>0.05</v>
      </c>
      <c r="K69">
        <v>3.78</v>
      </c>
      <c r="L69">
        <v>0.14000000000000001</v>
      </c>
      <c r="M69">
        <v>0.22</v>
      </c>
      <c r="N69">
        <v>2.63</v>
      </c>
      <c r="O69">
        <v>0.24</v>
      </c>
      <c r="P69">
        <v>0.01</v>
      </c>
      <c r="Q69">
        <v>3.24</v>
      </c>
      <c r="R69">
        <v>-0.54</v>
      </c>
      <c r="S69">
        <v>2.19</v>
      </c>
      <c r="T69">
        <v>1.17</v>
      </c>
      <c r="U69" s="1" t="s">
        <v>38</v>
      </c>
    </row>
    <row r="70" spans="1:21" x14ac:dyDescent="0.3">
      <c r="A70" s="1" t="s">
        <v>100</v>
      </c>
      <c r="B70" s="1" t="s">
        <v>21</v>
      </c>
      <c r="C70">
        <v>9.31</v>
      </c>
      <c r="D70">
        <v>0.75</v>
      </c>
      <c r="E70" s="1">
        <v>7106.04</v>
      </c>
      <c r="F70">
        <v>0.66</v>
      </c>
      <c r="G70">
        <v>0.22</v>
      </c>
      <c r="H70">
        <v>0.11</v>
      </c>
      <c r="I70">
        <v>1.25</v>
      </c>
      <c r="J70">
        <v>0.01</v>
      </c>
      <c r="K70">
        <v>2.31</v>
      </c>
      <c r="L70">
        <v>0.46</v>
      </c>
      <c r="M70">
        <v>0.2</v>
      </c>
      <c r="N70">
        <v>0.11</v>
      </c>
      <c r="O70">
        <v>0.02</v>
      </c>
      <c r="P70">
        <v>0.06</v>
      </c>
      <c r="Q70">
        <v>0.85</v>
      </c>
      <c r="R70">
        <v>-1.46</v>
      </c>
      <c r="S70">
        <v>1.33</v>
      </c>
      <c r="T70">
        <v>2.72</v>
      </c>
      <c r="U70" s="1" t="s">
        <v>37</v>
      </c>
    </row>
    <row r="71" spans="1:21" x14ac:dyDescent="0.3">
      <c r="A71" s="1" t="s">
        <v>101</v>
      </c>
      <c r="B71" s="1" t="s">
        <v>64</v>
      </c>
      <c r="C71">
        <v>7.0000000000000007E-2</v>
      </c>
      <c r="D71">
        <v>0.72</v>
      </c>
      <c r="E71" s="1">
        <v>7088.01</v>
      </c>
      <c r="F71">
        <v>0.64</v>
      </c>
      <c r="G71">
        <v>0.15</v>
      </c>
      <c r="H71">
        <v>0.14000000000000001</v>
      </c>
      <c r="I71">
        <v>1.47</v>
      </c>
      <c r="J71">
        <v>0.17</v>
      </c>
      <c r="K71">
        <v>2.57</v>
      </c>
      <c r="L71">
        <v>0.4</v>
      </c>
      <c r="M71">
        <v>0.01</v>
      </c>
      <c r="N71">
        <v>0.52</v>
      </c>
      <c r="O71">
        <v>0.1</v>
      </c>
      <c r="P71">
        <v>0</v>
      </c>
      <c r="Q71">
        <v>1.03</v>
      </c>
      <c r="R71">
        <v>-1.54</v>
      </c>
      <c r="S71">
        <v>1.49</v>
      </c>
      <c r="T71">
        <v>2.4900000000000002</v>
      </c>
      <c r="U71" s="1" t="s">
        <v>38</v>
      </c>
    </row>
    <row r="72" spans="1:21" x14ac:dyDescent="0.3">
      <c r="A72" s="1" t="s">
        <v>102</v>
      </c>
      <c r="B72" s="1" t="s">
        <v>22</v>
      </c>
      <c r="C72">
        <v>9.5500000000000007</v>
      </c>
      <c r="D72">
        <v>0.76</v>
      </c>
      <c r="E72" s="1">
        <v>6426.18</v>
      </c>
      <c r="F72">
        <v>0.49</v>
      </c>
      <c r="G72">
        <v>0.02</v>
      </c>
      <c r="H72">
        <v>0.46</v>
      </c>
      <c r="I72">
        <v>1.66</v>
      </c>
      <c r="J72">
        <v>0.02</v>
      </c>
      <c r="K72">
        <v>2.7</v>
      </c>
      <c r="L72">
        <v>0.73</v>
      </c>
      <c r="M72">
        <v>0.02</v>
      </c>
      <c r="N72">
        <v>0.46</v>
      </c>
      <c r="O72">
        <v>0</v>
      </c>
      <c r="P72">
        <v>0.04</v>
      </c>
      <c r="Q72">
        <v>1.25</v>
      </c>
      <c r="R72">
        <v>-1.44</v>
      </c>
      <c r="S72">
        <v>1.56</v>
      </c>
      <c r="T72">
        <v>2.15</v>
      </c>
      <c r="U72" s="1" t="s">
        <v>38</v>
      </c>
    </row>
    <row r="73" spans="1:21" x14ac:dyDescent="0.3">
      <c r="A73" s="1" t="s">
        <v>103</v>
      </c>
      <c r="B73" s="1" t="s">
        <v>22</v>
      </c>
      <c r="C73">
        <v>9.4</v>
      </c>
      <c r="D73">
        <v>0.8</v>
      </c>
      <c r="E73" s="1">
        <v>6300.45</v>
      </c>
      <c r="F73">
        <v>1.32</v>
      </c>
      <c r="G73">
        <v>0.12</v>
      </c>
      <c r="H73">
        <v>0.91</v>
      </c>
      <c r="I73">
        <v>2.57</v>
      </c>
      <c r="J73">
        <v>0.08</v>
      </c>
      <c r="K73">
        <v>5.09</v>
      </c>
      <c r="L73">
        <v>1.52</v>
      </c>
      <c r="M73">
        <v>0.3</v>
      </c>
      <c r="N73">
        <v>1.71</v>
      </c>
      <c r="O73">
        <v>0.02</v>
      </c>
      <c r="P73">
        <v>0.09</v>
      </c>
      <c r="Q73">
        <v>3.64</v>
      </c>
      <c r="R73">
        <v>-1.45</v>
      </c>
      <c r="S73">
        <v>2.94</v>
      </c>
      <c r="T73">
        <v>1.4</v>
      </c>
      <c r="U73" s="1" t="s">
        <v>37</v>
      </c>
    </row>
    <row r="74" spans="1:21" x14ac:dyDescent="0.3">
      <c r="A74" s="1" t="s">
        <v>104</v>
      </c>
      <c r="B74" s="1" t="s">
        <v>64</v>
      </c>
      <c r="C74">
        <v>10.28</v>
      </c>
      <c r="D74">
        <v>0.71</v>
      </c>
      <c r="E74" s="1">
        <v>6085.89</v>
      </c>
      <c r="F74">
        <v>0.35</v>
      </c>
      <c r="G74">
        <v>0.12</v>
      </c>
      <c r="H74">
        <v>0.12</v>
      </c>
      <c r="I74">
        <v>0.86</v>
      </c>
      <c r="J74">
        <v>0.04</v>
      </c>
      <c r="K74">
        <v>1.53</v>
      </c>
      <c r="L74">
        <v>0.22</v>
      </c>
      <c r="M74">
        <v>0.11</v>
      </c>
      <c r="N74">
        <v>0.16</v>
      </c>
      <c r="O74">
        <v>0.02</v>
      </c>
      <c r="P74">
        <v>0.05</v>
      </c>
      <c r="Q74">
        <v>0.56000000000000005</v>
      </c>
      <c r="R74">
        <v>-0.97</v>
      </c>
      <c r="S74">
        <v>0.88</v>
      </c>
      <c r="T74">
        <v>2.74</v>
      </c>
      <c r="U74" s="1" t="s">
        <v>37</v>
      </c>
    </row>
    <row r="75" spans="1:21" x14ac:dyDescent="0.3">
      <c r="A75" s="1" t="s">
        <v>105</v>
      </c>
      <c r="B75" s="1" t="s">
        <v>60</v>
      </c>
      <c r="C75">
        <v>2.2599999999999998</v>
      </c>
      <c r="D75">
        <v>0.62</v>
      </c>
      <c r="E75" s="1">
        <v>5880.8</v>
      </c>
      <c r="F75">
        <v>0.33</v>
      </c>
      <c r="G75">
        <v>0.23</v>
      </c>
      <c r="H75">
        <v>0.17</v>
      </c>
      <c r="I75">
        <v>1.02</v>
      </c>
      <c r="J75">
        <v>0.72</v>
      </c>
      <c r="K75">
        <v>2.48</v>
      </c>
      <c r="L75">
        <v>0.14000000000000001</v>
      </c>
      <c r="M75">
        <v>1.6</v>
      </c>
      <c r="N75">
        <v>0.36</v>
      </c>
      <c r="O75">
        <v>4.76</v>
      </c>
      <c r="P75">
        <v>0.02</v>
      </c>
      <c r="Q75">
        <v>6.88</v>
      </c>
      <c r="R75">
        <v>4.4000000000000004</v>
      </c>
      <c r="S75">
        <v>1.43</v>
      </c>
      <c r="T75">
        <v>0.36</v>
      </c>
      <c r="U75" s="1" t="s">
        <v>26</v>
      </c>
    </row>
    <row r="76" spans="1:21" x14ac:dyDescent="0.3">
      <c r="A76" s="1" t="s">
        <v>106</v>
      </c>
      <c r="B76" s="1" t="s">
        <v>60</v>
      </c>
      <c r="C76">
        <v>6.16</v>
      </c>
      <c r="D76">
        <v>0.74</v>
      </c>
      <c r="E76" s="1">
        <v>5859.43</v>
      </c>
      <c r="F76">
        <v>0.79</v>
      </c>
      <c r="G76">
        <v>0.32</v>
      </c>
      <c r="H76">
        <v>0.14000000000000001</v>
      </c>
      <c r="I76">
        <v>2.33</v>
      </c>
      <c r="J76">
        <v>0.1</v>
      </c>
      <c r="K76">
        <v>3.69</v>
      </c>
      <c r="L76">
        <v>0.17</v>
      </c>
      <c r="M76">
        <v>0.23</v>
      </c>
      <c r="N76">
        <v>0.02</v>
      </c>
      <c r="O76">
        <v>0.25</v>
      </c>
      <c r="P76">
        <v>0.02</v>
      </c>
      <c r="Q76">
        <v>0.7</v>
      </c>
      <c r="R76">
        <v>-3</v>
      </c>
      <c r="S76">
        <v>2.13</v>
      </c>
      <c r="T76">
        <v>5.3</v>
      </c>
      <c r="U76" s="1" t="s">
        <v>51</v>
      </c>
    </row>
    <row r="77" spans="1:21" x14ac:dyDescent="0.3">
      <c r="A77" s="1" t="s">
        <v>107</v>
      </c>
      <c r="B77" s="1" t="s">
        <v>21</v>
      </c>
      <c r="C77">
        <v>32.78</v>
      </c>
      <c r="D77">
        <v>0.65</v>
      </c>
      <c r="E77" s="1">
        <v>5848.54</v>
      </c>
      <c r="F77">
        <v>0.43</v>
      </c>
      <c r="G77">
        <v>0.03</v>
      </c>
      <c r="H77">
        <v>0.01</v>
      </c>
      <c r="I77">
        <v>1.36</v>
      </c>
      <c r="J77">
        <v>0.01</v>
      </c>
      <c r="K77">
        <v>1.88</v>
      </c>
      <c r="L77">
        <v>0.18</v>
      </c>
      <c r="M77">
        <v>0.02</v>
      </c>
      <c r="N77">
        <v>0.05</v>
      </c>
      <c r="O77">
        <v>0</v>
      </c>
      <c r="P77">
        <v>0.04</v>
      </c>
      <c r="Q77">
        <v>0.28999999999999998</v>
      </c>
      <c r="R77">
        <v>-1.59</v>
      </c>
      <c r="S77">
        <v>1.0900000000000001</v>
      </c>
      <c r="T77">
        <v>6.58</v>
      </c>
      <c r="U77" s="1" t="s">
        <v>51</v>
      </c>
    </row>
    <row r="78" spans="1:21" x14ac:dyDescent="0.3">
      <c r="A78" s="1" t="s">
        <v>108</v>
      </c>
      <c r="B78" s="1" t="s">
        <v>64</v>
      </c>
      <c r="C78">
        <v>29.99</v>
      </c>
      <c r="D78">
        <v>0.73</v>
      </c>
      <c r="E78" s="1">
        <v>5684.73</v>
      </c>
      <c r="F78">
        <v>0.5</v>
      </c>
      <c r="G78">
        <v>0.51</v>
      </c>
      <c r="H78">
        <v>0.19</v>
      </c>
      <c r="I78">
        <v>0.67</v>
      </c>
      <c r="J78">
        <v>0.33</v>
      </c>
      <c r="K78">
        <v>2.2799999999999998</v>
      </c>
      <c r="L78">
        <v>0.36</v>
      </c>
      <c r="M78">
        <v>0.51</v>
      </c>
      <c r="N78">
        <v>2.82</v>
      </c>
      <c r="O78">
        <v>0.2</v>
      </c>
      <c r="P78">
        <v>7.0000000000000007E-2</v>
      </c>
      <c r="Q78">
        <v>3.97</v>
      </c>
      <c r="R78">
        <v>1.69</v>
      </c>
      <c r="S78">
        <v>1.32</v>
      </c>
      <c r="T78">
        <v>0.56999999999999995</v>
      </c>
      <c r="U78" s="1" t="s">
        <v>37</v>
      </c>
    </row>
    <row r="79" spans="1:21" x14ac:dyDescent="0.3">
      <c r="A79" s="1" t="s">
        <v>109</v>
      </c>
      <c r="B79" s="1" t="s">
        <v>24</v>
      </c>
      <c r="C79">
        <v>1408.04</v>
      </c>
      <c r="D79">
        <v>0.72</v>
      </c>
      <c r="E79" s="1">
        <v>5560.94</v>
      </c>
      <c r="F79">
        <v>0.55000000000000004</v>
      </c>
      <c r="G79">
        <v>0.13</v>
      </c>
      <c r="H79">
        <v>0.19</v>
      </c>
      <c r="I79">
        <v>2.3199999999999998</v>
      </c>
      <c r="J79">
        <v>0.08</v>
      </c>
      <c r="K79">
        <v>3.38</v>
      </c>
      <c r="L79">
        <v>0.46</v>
      </c>
      <c r="M79">
        <v>0.1</v>
      </c>
      <c r="N79">
        <v>0.22</v>
      </c>
      <c r="O79">
        <v>0.04</v>
      </c>
      <c r="P79">
        <v>0.12</v>
      </c>
      <c r="Q79">
        <v>0.94</v>
      </c>
      <c r="R79">
        <v>-2.44</v>
      </c>
      <c r="S79">
        <v>1.95</v>
      </c>
      <c r="T79">
        <v>3.59</v>
      </c>
      <c r="U79" s="1" t="s">
        <v>37</v>
      </c>
    </row>
    <row r="80" spans="1:21" x14ac:dyDescent="0.3">
      <c r="A80" s="1" t="s">
        <v>110</v>
      </c>
      <c r="B80" s="1" t="s">
        <v>24</v>
      </c>
      <c r="C80">
        <v>66.78</v>
      </c>
      <c r="D80">
        <v>0.72</v>
      </c>
      <c r="E80" s="1">
        <v>5479.29</v>
      </c>
      <c r="F80">
        <v>0.67</v>
      </c>
      <c r="G80">
        <v>0.02</v>
      </c>
      <c r="H80">
        <v>0.24</v>
      </c>
      <c r="I80">
        <v>1.54</v>
      </c>
      <c r="J80">
        <v>0.13</v>
      </c>
      <c r="K80">
        <v>2.66</v>
      </c>
      <c r="L80">
        <v>0.77</v>
      </c>
      <c r="M80">
        <v>0.01</v>
      </c>
      <c r="N80">
        <v>0.2</v>
      </c>
      <c r="O80">
        <v>0.19</v>
      </c>
      <c r="P80">
        <v>7.0000000000000007E-2</v>
      </c>
      <c r="Q80">
        <v>1.24</v>
      </c>
      <c r="R80">
        <v>-1.42</v>
      </c>
      <c r="S80">
        <v>1.54</v>
      </c>
      <c r="T80">
        <v>2.14</v>
      </c>
      <c r="U80" s="1" t="s">
        <v>37</v>
      </c>
    </row>
    <row r="81" spans="1:21" x14ac:dyDescent="0.3">
      <c r="A81" s="1" t="s">
        <v>111</v>
      </c>
      <c r="B81" s="1" t="s">
        <v>60</v>
      </c>
      <c r="C81">
        <v>38.479999999999997</v>
      </c>
      <c r="D81">
        <v>0.73</v>
      </c>
      <c r="E81" s="1">
        <v>5430.57</v>
      </c>
      <c r="F81">
        <v>0.6</v>
      </c>
      <c r="G81">
        <v>0.16</v>
      </c>
      <c r="H81">
        <v>0.17</v>
      </c>
      <c r="I81">
        <v>1.1399999999999999</v>
      </c>
      <c r="J81">
        <v>0.01</v>
      </c>
      <c r="K81">
        <v>2.12</v>
      </c>
      <c r="L81">
        <v>0.24</v>
      </c>
      <c r="M81">
        <v>0.27</v>
      </c>
      <c r="N81">
        <v>0.03</v>
      </c>
      <c r="O81">
        <v>0.01</v>
      </c>
      <c r="P81">
        <v>0.03</v>
      </c>
      <c r="Q81">
        <v>0.59</v>
      </c>
      <c r="R81">
        <v>-1.53</v>
      </c>
      <c r="S81">
        <v>1.22</v>
      </c>
      <c r="T81">
        <v>3.61</v>
      </c>
      <c r="U81" s="1" t="s">
        <v>38</v>
      </c>
    </row>
    <row r="82" spans="1:21" x14ac:dyDescent="0.3">
      <c r="A82" s="1" t="s">
        <v>112</v>
      </c>
      <c r="B82" s="1" t="s">
        <v>21</v>
      </c>
      <c r="C82">
        <v>5.17</v>
      </c>
      <c r="D82">
        <v>0.68</v>
      </c>
      <c r="E82" s="1">
        <v>5290.14</v>
      </c>
      <c r="F82">
        <v>0.73</v>
      </c>
      <c r="G82">
        <v>0.44</v>
      </c>
      <c r="H82">
        <v>0.08</v>
      </c>
      <c r="I82">
        <v>4.13</v>
      </c>
      <c r="J82">
        <v>0.01</v>
      </c>
      <c r="K82">
        <v>5.47</v>
      </c>
      <c r="L82">
        <v>0.6</v>
      </c>
      <c r="M82">
        <v>1.96</v>
      </c>
      <c r="N82">
        <v>0.02</v>
      </c>
      <c r="O82">
        <v>0.13</v>
      </c>
      <c r="P82">
        <v>0.09</v>
      </c>
      <c r="Q82">
        <v>2.79</v>
      </c>
      <c r="R82">
        <v>-2.68</v>
      </c>
      <c r="S82">
        <v>3.16</v>
      </c>
      <c r="T82">
        <v>1.96</v>
      </c>
      <c r="U82" s="1" t="s">
        <v>37</v>
      </c>
    </row>
    <row r="83" spans="1:21" x14ac:dyDescent="0.3">
      <c r="A83" s="1" t="s">
        <v>113</v>
      </c>
      <c r="B83" s="1" t="s">
        <v>64</v>
      </c>
      <c r="C83">
        <v>2.77</v>
      </c>
      <c r="D83">
        <v>0.72</v>
      </c>
      <c r="E83" s="1">
        <v>5226.3</v>
      </c>
      <c r="F83">
        <v>0.41</v>
      </c>
      <c r="G83">
        <v>0.09</v>
      </c>
      <c r="H83">
        <v>0.18</v>
      </c>
      <c r="I83">
        <v>1.0900000000000001</v>
      </c>
      <c r="J83">
        <v>7.0000000000000007E-2</v>
      </c>
      <c r="K83">
        <v>1.89</v>
      </c>
      <c r="L83">
        <v>0.16</v>
      </c>
      <c r="M83">
        <v>0</v>
      </c>
      <c r="N83">
        <v>0.1</v>
      </c>
      <c r="O83">
        <v>0.11</v>
      </c>
      <c r="P83">
        <v>0.05</v>
      </c>
      <c r="Q83">
        <v>0.43</v>
      </c>
      <c r="R83">
        <v>-1.46</v>
      </c>
      <c r="S83">
        <v>1.0900000000000001</v>
      </c>
      <c r="T83">
        <v>4.3899999999999997</v>
      </c>
      <c r="U83" s="1" t="s">
        <v>51</v>
      </c>
    </row>
    <row r="84" spans="1:21" x14ac:dyDescent="0.3">
      <c r="A84" s="1" t="s">
        <v>114</v>
      </c>
      <c r="B84" s="1" t="s">
        <v>64</v>
      </c>
      <c r="C84">
        <v>15.49</v>
      </c>
      <c r="D84">
        <v>0.73</v>
      </c>
      <c r="E84" s="1">
        <v>5192.88</v>
      </c>
      <c r="F84">
        <v>0.3</v>
      </c>
      <c r="G84">
        <v>0.3</v>
      </c>
      <c r="H84">
        <v>0.24</v>
      </c>
      <c r="I84">
        <v>1.08</v>
      </c>
      <c r="J84">
        <v>0.18</v>
      </c>
      <c r="K84">
        <v>2.17</v>
      </c>
      <c r="L84">
        <v>0.32</v>
      </c>
      <c r="M84">
        <v>0.3</v>
      </c>
      <c r="N84">
        <v>1.41</v>
      </c>
      <c r="O84">
        <v>0.11</v>
      </c>
      <c r="P84">
        <v>0.06</v>
      </c>
      <c r="Q84">
        <v>2.2000000000000002</v>
      </c>
      <c r="R84">
        <v>0.03</v>
      </c>
      <c r="S84">
        <v>1.25</v>
      </c>
      <c r="T84">
        <v>0.99</v>
      </c>
      <c r="U84" s="1" t="s">
        <v>38</v>
      </c>
    </row>
    <row r="85" spans="1:21" x14ac:dyDescent="0.3">
      <c r="A85" s="1" t="s">
        <v>115</v>
      </c>
      <c r="B85" s="1" t="s">
        <v>64</v>
      </c>
      <c r="C85">
        <v>11.27</v>
      </c>
      <c r="D85">
        <v>0.77</v>
      </c>
      <c r="E85" s="1">
        <v>5175.9399999999996</v>
      </c>
      <c r="F85">
        <v>0.48</v>
      </c>
      <c r="G85">
        <v>0.11</v>
      </c>
      <c r="H85">
        <v>0.09</v>
      </c>
      <c r="I85">
        <v>1.23</v>
      </c>
      <c r="J85">
        <v>0.02</v>
      </c>
      <c r="K85">
        <v>1.95</v>
      </c>
      <c r="L85">
        <v>0.26</v>
      </c>
      <c r="M85">
        <v>0.09</v>
      </c>
      <c r="N85">
        <v>0.23</v>
      </c>
      <c r="O85">
        <v>0.16</v>
      </c>
      <c r="P85">
        <v>0.03</v>
      </c>
      <c r="Q85">
        <v>0.76</v>
      </c>
      <c r="R85">
        <v>-1.19</v>
      </c>
      <c r="S85">
        <v>1.1299999999999999</v>
      </c>
      <c r="T85">
        <v>2.56</v>
      </c>
      <c r="U85" s="1" t="s">
        <v>37</v>
      </c>
    </row>
    <row r="86" spans="1:21" x14ac:dyDescent="0.3">
      <c r="A86" s="1" t="s">
        <v>116</v>
      </c>
      <c r="B86" s="1" t="s">
        <v>22</v>
      </c>
      <c r="C86">
        <v>2.11</v>
      </c>
      <c r="D86">
        <v>0.74</v>
      </c>
      <c r="E86" s="1">
        <v>5174.8900000000003</v>
      </c>
      <c r="F86">
        <v>0.62</v>
      </c>
      <c r="G86">
        <v>0.21</v>
      </c>
      <c r="H86">
        <v>0.31</v>
      </c>
      <c r="I86">
        <v>2.06</v>
      </c>
      <c r="J86">
        <v>0.03</v>
      </c>
      <c r="K86">
        <v>3.26</v>
      </c>
      <c r="L86">
        <v>0.38</v>
      </c>
      <c r="M86">
        <v>0.17</v>
      </c>
      <c r="N86">
        <v>0.92</v>
      </c>
      <c r="O86">
        <v>0.02</v>
      </c>
      <c r="P86">
        <v>0.02</v>
      </c>
      <c r="Q86">
        <v>1.51</v>
      </c>
      <c r="R86">
        <v>-1.75</v>
      </c>
      <c r="S86">
        <v>1.88</v>
      </c>
      <c r="T86">
        <v>2.16</v>
      </c>
      <c r="U86" s="1" t="s">
        <v>37</v>
      </c>
    </row>
    <row r="87" spans="1:21" x14ac:dyDescent="0.3">
      <c r="A87" s="1" t="s">
        <v>117</v>
      </c>
      <c r="B87" s="1" t="s">
        <v>24</v>
      </c>
      <c r="C87">
        <v>1.1100000000000001</v>
      </c>
      <c r="D87">
        <v>0.6</v>
      </c>
      <c r="E87" s="1">
        <v>5167.8599999999997</v>
      </c>
      <c r="F87">
        <v>0.25</v>
      </c>
      <c r="G87">
        <v>7.0000000000000007E-2</v>
      </c>
      <c r="H87">
        <v>0.04</v>
      </c>
      <c r="I87">
        <v>0.06</v>
      </c>
      <c r="J87">
        <v>0.02</v>
      </c>
      <c r="K87">
        <v>0.48</v>
      </c>
      <c r="L87">
        <v>0.21</v>
      </c>
      <c r="M87">
        <v>0.06</v>
      </c>
      <c r="N87">
        <v>0.52</v>
      </c>
      <c r="O87">
        <v>0.94</v>
      </c>
      <c r="P87">
        <v>0.04</v>
      </c>
      <c r="Q87">
        <v>1.78</v>
      </c>
      <c r="R87">
        <v>1.3</v>
      </c>
      <c r="S87">
        <v>0.28000000000000003</v>
      </c>
      <c r="T87">
        <v>0.27</v>
      </c>
      <c r="U87" s="1" t="s">
        <v>51</v>
      </c>
    </row>
    <row r="88" spans="1:21" x14ac:dyDescent="0.3">
      <c r="A88" s="1" t="s">
        <v>118</v>
      </c>
      <c r="B88" s="1" t="s">
        <v>22</v>
      </c>
      <c r="C88">
        <v>3.83</v>
      </c>
      <c r="D88">
        <v>0.73</v>
      </c>
      <c r="E88" s="1">
        <v>4708.8500000000004</v>
      </c>
      <c r="F88">
        <v>0.63</v>
      </c>
      <c r="G88">
        <v>0.27</v>
      </c>
      <c r="H88">
        <v>0.44</v>
      </c>
      <c r="I88">
        <v>1.74</v>
      </c>
      <c r="J88">
        <v>0.02</v>
      </c>
      <c r="K88">
        <v>3.12</v>
      </c>
      <c r="L88">
        <v>0.3</v>
      </c>
      <c r="M88">
        <v>0.19</v>
      </c>
      <c r="N88">
        <v>1.1299999999999999</v>
      </c>
      <c r="O88">
        <v>0</v>
      </c>
      <c r="P88">
        <v>0.02</v>
      </c>
      <c r="Q88">
        <v>1.63</v>
      </c>
      <c r="R88">
        <v>-1.49</v>
      </c>
      <c r="S88">
        <v>1.8</v>
      </c>
      <c r="T88">
        <v>1.91</v>
      </c>
      <c r="U88" s="1" t="s">
        <v>38</v>
      </c>
    </row>
    <row r="89" spans="1:21" x14ac:dyDescent="0.3">
      <c r="A89" s="1" t="s">
        <v>119</v>
      </c>
      <c r="B89" s="1" t="s">
        <v>60</v>
      </c>
      <c r="C89">
        <v>20.82</v>
      </c>
      <c r="D89">
        <v>0.52</v>
      </c>
      <c r="E89" s="1">
        <v>4665.91</v>
      </c>
      <c r="F89">
        <v>0.33</v>
      </c>
      <c r="G89">
        <v>0.15</v>
      </c>
      <c r="H89">
        <v>0.12</v>
      </c>
      <c r="I89">
        <v>0.2</v>
      </c>
      <c r="J89">
        <v>0.09</v>
      </c>
      <c r="K89">
        <v>0.93</v>
      </c>
      <c r="L89">
        <v>0.2</v>
      </c>
      <c r="M89">
        <v>1.42</v>
      </c>
      <c r="N89">
        <v>0.64</v>
      </c>
      <c r="O89">
        <v>0.26</v>
      </c>
      <c r="P89">
        <v>0.04</v>
      </c>
      <c r="Q89">
        <v>2.5499999999999998</v>
      </c>
      <c r="R89">
        <v>1.61</v>
      </c>
      <c r="S89">
        <v>0.54</v>
      </c>
      <c r="T89">
        <v>0.37</v>
      </c>
      <c r="U89" s="1" t="s">
        <v>37</v>
      </c>
    </row>
    <row r="90" spans="1:21" x14ac:dyDescent="0.3">
      <c r="A90" s="1" t="s">
        <v>120</v>
      </c>
      <c r="B90" s="1" t="s">
        <v>60</v>
      </c>
      <c r="C90">
        <v>1.23</v>
      </c>
      <c r="D90">
        <v>0.53</v>
      </c>
      <c r="E90" s="1">
        <v>4657.4799999999996</v>
      </c>
      <c r="F90">
        <v>0.35</v>
      </c>
      <c r="G90">
        <v>0.41</v>
      </c>
      <c r="H90">
        <v>0.52</v>
      </c>
      <c r="I90">
        <v>0.67</v>
      </c>
      <c r="J90">
        <v>0.01</v>
      </c>
      <c r="K90">
        <v>2.0099999999999998</v>
      </c>
      <c r="L90">
        <v>0.25</v>
      </c>
      <c r="M90">
        <v>0.51</v>
      </c>
      <c r="N90">
        <v>0.05</v>
      </c>
      <c r="O90">
        <v>0</v>
      </c>
      <c r="P90">
        <v>0.06</v>
      </c>
      <c r="Q90">
        <v>0.88</v>
      </c>
      <c r="R90">
        <v>-1.1399999999999999</v>
      </c>
      <c r="S90">
        <v>1.1599999999999999</v>
      </c>
      <c r="T90">
        <v>2.2999999999999998</v>
      </c>
      <c r="U90" s="1" t="s">
        <v>26</v>
      </c>
    </row>
    <row r="91" spans="1:21" x14ac:dyDescent="0.3">
      <c r="A91" s="1" t="s">
        <v>121</v>
      </c>
      <c r="B91" s="1" t="s">
        <v>21</v>
      </c>
      <c r="C91">
        <v>7.01</v>
      </c>
      <c r="D91">
        <v>0.75</v>
      </c>
      <c r="E91" s="1">
        <v>4615.17</v>
      </c>
      <c r="F91">
        <v>0.54</v>
      </c>
      <c r="G91">
        <v>0.18</v>
      </c>
      <c r="H91">
        <v>0.17</v>
      </c>
      <c r="I91">
        <v>1.0900000000000001</v>
      </c>
      <c r="J91">
        <v>0.03</v>
      </c>
      <c r="K91">
        <v>2.1</v>
      </c>
      <c r="L91">
        <v>0.09</v>
      </c>
      <c r="M91">
        <v>0.02</v>
      </c>
      <c r="N91">
        <v>0.03</v>
      </c>
      <c r="O91">
        <v>0</v>
      </c>
      <c r="P91">
        <v>7.0000000000000007E-2</v>
      </c>
      <c r="Q91">
        <v>0.21</v>
      </c>
      <c r="R91">
        <v>-1.89</v>
      </c>
      <c r="S91">
        <v>1.21</v>
      </c>
      <c r="T91">
        <v>9.91</v>
      </c>
      <c r="U91" s="1" t="s">
        <v>38</v>
      </c>
    </row>
    <row r="92" spans="1:21" x14ac:dyDescent="0.3">
      <c r="A92" s="1" t="s">
        <v>122</v>
      </c>
      <c r="B92" s="1" t="s">
        <v>22</v>
      </c>
      <c r="C92">
        <v>3.16</v>
      </c>
      <c r="D92">
        <v>0.73</v>
      </c>
      <c r="E92" s="1">
        <v>4534.37</v>
      </c>
      <c r="F92">
        <v>0.78</v>
      </c>
      <c r="G92">
        <v>0.22</v>
      </c>
      <c r="H92">
        <v>0.25</v>
      </c>
      <c r="I92">
        <v>0.87</v>
      </c>
      <c r="J92">
        <v>0.02</v>
      </c>
      <c r="K92">
        <v>2.21</v>
      </c>
      <c r="L92">
        <v>0.55000000000000004</v>
      </c>
      <c r="M92">
        <v>0.21</v>
      </c>
      <c r="N92">
        <v>0.28999999999999998</v>
      </c>
      <c r="O92">
        <v>7.0000000000000007E-2</v>
      </c>
      <c r="P92">
        <v>0.06</v>
      </c>
      <c r="Q92">
        <v>1.18</v>
      </c>
      <c r="R92">
        <v>-1.03</v>
      </c>
      <c r="S92">
        <v>1.27</v>
      </c>
      <c r="T92">
        <v>1.87</v>
      </c>
      <c r="U92" s="1" t="s">
        <v>37</v>
      </c>
    </row>
    <row r="93" spans="1:21" x14ac:dyDescent="0.3">
      <c r="A93" s="1" t="s">
        <v>123</v>
      </c>
      <c r="B93" s="1" t="s">
        <v>24</v>
      </c>
      <c r="C93">
        <v>0.1</v>
      </c>
      <c r="D93">
        <v>0.72</v>
      </c>
      <c r="E93" s="1">
        <v>4330.8999999999996</v>
      </c>
      <c r="F93">
        <v>1.19</v>
      </c>
      <c r="G93">
        <v>0.32</v>
      </c>
      <c r="H93">
        <v>0.14000000000000001</v>
      </c>
      <c r="I93">
        <v>0.88</v>
      </c>
      <c r="J93">
        <v>0.18</v>
      </c>
      <c r="K93">
        <v>2.7</v>
      </c>
      <c r="L93">
        <v>0.83</v>
      </c>
      <c r="M93">
        <v>0.02</v>
      </c>
      <c r="N93">
        <v>0.11</v>
      </c>
      <c r="O93">
        <v>0.52</v>
      </c>
      <c r="P93">
        <v>0</v>
      </c>
      <c r="Q93">
        <v>1.48</v>
      </c>
      <c r="R93">
        <v>-1.22</v>
      </c>
      <c r="S93">
        <v>1.56</v>
      </c>
      <c r="T93">
        <v>1.82</v>
      </c>
      <c r="U93" s="1" t="s">
        <v>51</v>
      </c>
    </row>
    <row r="94" spans="1:21" x14ac:dyDescent="0.3">
      <c r="A94" s="1" t="s">
        <v>124</v>
      </c>
      <c r="B94" s="1" t="s">
        <v>60</v>
      </c>
      <c r="C94">
        <v>10.88</v>
      </c>
      <c r="D94">
        <v>0.72</v>
      </c>
      <c r="E94" s="1">
        <v>4305.07</v>
      </c>
      <c r="F94">
        <v>0.76</v>
      </c>
      <c r="G94">
        <v>0.09</v>
      </c>
      <c r="H94">
        <v>0.28000000000000003</v>
      </c>
      <c r="I94">
        <v>1.1100000000000001</v>
      </c>
      <c r="J94">
        <v>0.06</v>
      </c>
      <c r="K94">
        <v>2.34</v>
      </c>
      <c r="L94">
        <v>0.53</v>
      </c>
      <c r="M94">
        <v>0.08</v>
      </c>
      <c r="N94">
        <v>0.05</v>
      </c>
      <c r="O94">
        <v>0.24</v>
      </c>
      <c r="P94">
        <v>0.04</v>
      </c>
      <c r="Q94">
        <v>0.93</v>
      </c>
      <c r="R94">
        <v>-1.4</v>
      </c>
      <c r="S94">
        <v>1.35</v>
      </c>
      <c r="T94">
        <v>2.5099999999999998</v>
      </c>
      <c r="U94" s="1" t="s">
        <v>38</v>
      </c>
    </row>
    <row r="95" spans="1:21" x14ac:dyDescent="0.3">
      <c r="A95" s="1" t="s">
        <v>125</v>
      </c>
      <c r="B95" s="1" t="s">
        <v>24</v>
      </c>
      <c r="C95">
        <v>0.88</v>
      </c>
      <c r="D95">
        <v>0.72</v>
      </c>
      <c r="E95" s="1">
        <v>4201.37</v>
      </c>
      <c r="F95">
        <v>0.55000000000000004</v>
      </c>
      <c r="G95">
        <v>0.2</v>
      </c>
      <c r="H95">
        <v>0.42</v>
      </c>
      <c r="I95">
        <v>1.06</v>
      </c>
      <c r="J95">
        <v>0.62</v>
      </c>
      <c r="K95">
        <v>2.9</v>
      </c>
      <c r="L95">
        <v>0.28000000000000003</v>
      </c>
      <c r="M95">
        <v>0.09</v>
      </c>
      <c r="N95">
        <v>1.3</v>
      </c>
      <c r="O95">
        <v>0.65</v>
      </c>
      <c r="P95">
        <v>0.04</v>
      </c>
      <c r="Q95">
        <v>2.37</v>
      </c>
      <c r="R95">
        <v>-0.52</v>
      </c>
      <c r="S95">
        <v>1.67</v>
      </c>
      <c r="T95">
        <v>1.22</v>
      </c>
      <c r="U95" s="1" t="s">
        <v>38</v>
      </c>
    </row>
    <row r="96" spans="1:21" x14ac:dyDescent="0.3">
      <c r="A96" s="1" t="s">
        <v>126</v>
      </c>
      <c r="B96" s="1" t="s">
        <v>24</v>
      </c>
      <c r="C96">
        <v>0.19</v>
      </c>
      <c r="D96">
        <v>0.7</v>
      </c>
      <c r="E96" s="1">
        <v>4067.15</v>
      </c>
      <c r="F96">
        <v>0.97</v>
      </c>
      <c r="G96">
        <v>0.16</v>
      </c>
      <c r="H96">
        <v>0.27</v>
      </c>
      <c r="I96">
        <v>0.96</v>
      </c>
      <c r="J96">
        <v>0.42</v>
      </c>
      <c r="K96">
        <v>2.77</v>
      </c>
      <c r="L96">
        <v>0.69</v>
      </c>
      <c r="M96">
        <v>0.01</v>
      </c>
      <c r="N96">
        <v>1.17</v>
      </c>
      <c r="O96">
        <v>0.06</v>
      </c>
      <c r="P96">
        <v>0</v>
      </c>
      <c r="Q96">
        <v>1.93</v>
      </c>
      <c r="R96">
        <v>-0.85</v>
      </c>
      <c r="S96">
        <v>1.6</v>
      </c>
      <c r="T96">
        <v>1.44</v>
      </c>
      <c r="U96" s="1" t="s">
        <v>51</v>
      </c>
    </row>
    <row r="97" spans="1:21" x14ac:dyDescent="0.3">
      <c r="A97" s="1" t="s">
        <v>127</v>
      </c>
      <c r="B97" s="1" t="s">
        <v>24</v>
      </c>
      <c r="C97">
        <v>2.8</v>
      </c>
      <c r="D97">
        <v>0.71</v>
      </c>
      <c r="E97" s="1">
        <v>3736.07</v>
      </c>
      <c r="F97">
        <v>0.28999999999999998</v>
      </c>
      <c r="G97">
        <v>3.47</v>
      </c>
      <c r="H97">
        <v>0.17</v>
      </c>
      <c r="I97">
        <v>2.09</v>
      </c>
      <c r="J97">
        <v>0</v>
      </c>
      <c r="K97">
        <v>6.08</v>
      </c>
      <c r="L97">
        <v>0.21</v>
      </c>
      <c r="M97">
        <v>8.23</v>
      </c>
      <c r="N97">
        <v>7.03</v>
      </c>
      <c r="O97">
        <v>0.14000000000000001</v>
      </c>
      <c r="P97">
        <v>0.05</v>
      </c>
      <c r="Q97">
        <v>15.66</v>
      </c>
      <c r="R97">
        <v>9.58</v>
      </c>
      <c r="S97">
        <v>3.51</v>
      </c>
      <c r="T97">
        <v>0.39</v>
      </c>
      <c r="U97" s="1" t="s">
        <v>51</v>
      </c>
    </row>
    <row r="98" spans="1:21" x14ac:dyDescent="0.3">
      <c r="A98" s="1" t="s">
        <v>128</v>
      </c>
      <c r="B98" s="1" t="s">
        <v>21</v>
      </c>
      <c r="C98">
        <v>4.3600000000000003</v>
      </c>
      <c r="D98">
        <v>0.75</v>
      </c>
      <c r="E98" s="1">
        <v>3710.7</v>
      </c>
      <c r="F98">
        <v>0.39</v>
      </c>
      <c r="G98">
        <v>0.2</v>
      </c>
      <c r="H98">
        <v>0.1</v>
      </c>
      <c r="I98">
        <v>0.83</v>
      </c>
      <c r="J98">
        <v>0.02</v>
      </c>
      <c r="K98">
        <v>1.58</v>
      </c>
      <c r="L98">
        <v>0.12</v>
      </c>
      <c r="M98">
        <v>0.36</v>
      </c>
      <c r="N98">
        <v>0.61</v>
      </c>
      <c r="O98">
        <v>0.05</v>
      </c>
      <c r="P98">
        <v>0.04</v>
      </c>
      <c r="Q98">
        <v>1.17</v>
      </c>
      <c r="R98">
        <v>-0.41</v>
      </c>
      <c r="S98">
        <v>0.91</v>
      </c>
      <c r="T98">
        <v>1.35</v>
      </c>
      <c r="U98" s="1" t="s">
        <v>51</v>
      </c>
    </row>
    <row r="99" spans="1:21" x14ac:dyDescent="0.3">
      <c r="A99" s="1" t="s">
        <v>129</v>
      </c>
      <c r="B99" s="1" t="s">
        <v>64</v>
      </c>
      <c r="C99">
        <v>6.3</v>
      </c>
      <c r="D99">
        <v>0.66</v>
      </c>
      <c r="E99" s="1">
        <v>3696.33</v>
      </c>
      <c r="F99">
        <v>0.44</v>
      </c>
      <c r="G99">
        <v>0.21</v>
      </c>
      <c r="H99">
        <v>0.4</v>
      </c>
      <c r="I99">
        <v>0.84</v>
      </c>
      <c r="J99">
        <v>0.14000000000000001</v>
      </c>
      <c r="K99">
        <v>2.0699999999999998</v>
      </c>
      <c r="L99">
        <v>0.27</v>
      </c>
      <c r="M99">
        <v>0.15</v>
      </c>
      <c r="N99">
        <v>0.04</v>
      </c>
      <c r="O99">
        <v>0.11</v>
      </c>
      <c r="P99">
        <v>0.05</v>
      </c>
      <c r="Q99">
        <v>0.61</v>
      </c>
      <c r="R99">
        <v>-1.46</v>
      </c>
      <c r="S99">
        <v>1.2</v>
      </c>
      <c r="T99">
        <v>3.37</v>
      </c>
      <c r="U99" s="1" t="s">
        <v>38</v>
      </c>
    </row>
    <row r="100" spans="1:21" x14ac:dyDescent="0.3">
      <c r="A100" s="1" t="s">
        <v>130</v>
      </c>
      <c r="B100" s="1" t="s">
        <v>24</v>
      </c>
      <c r="C100">
        <v>246.86</v>
      </c>
      <c r="D100">
        <v>0.68</v>
      </c>
      <c r="E100" s="1">
        <v>3688.53</v>
      </c>
      <c r="F100">
        <v>0.44</v>
      </c>
      <c r="G100">
        <v>0.03</v>
      </c>
      <c r="H100">
        <v>0.2</v>
      </c>
      <c r="I100">
        <v>0.64</v>
      </c>
      <c r="J100">
        <v>0.21</v>
      </c>
      <c r="K100">
        <v>1.58</v>
      </c>
      <c r="L100">
        <v>0.46</v>
      </c>
      <c r="M100">
        <v>0.06</v>
      </c>
      <c r="N100">
        <v>0.3</v>
      </c>
      <c r="O100">
        <v>0.38</v>
      </c>
      <c r="P100">
        <v>0.06</v>
      </c>
      <c r="Q100">
        <v>1.26</v>
      </c>
      <c r="R100">
        <v>-0.32</v>
      </c>
      <c r="S100">
        <v>0.91</v>
      </c>
      <c r="T100">
        <v>1.25</v>
      </c>
      <c r="U100" s="1" t="s">
        <v>37</v>
      </c>
    </row>
    <row r="101" spans="1:21" x14ac:dyDescent="0.3">
      <c r="A101" s="1" t="s">
        <v>131</v>
      </c>
      <c r="B101" s="1" t="s">
        <v>22</v>
      </c>
      <c r="C101">
        <v>45.53</v>
      </c>
      <c r="D101">
        <v>0.74</v>
      </c>
      <c r="E101" s="1">
        <v>3589.63</v>
      </c>
      <c r="F101">
        <v>0.62</v>
      </c>
      <c r="G101">
        <v>0.01</v>
      </c>
      <c r="H101">
        <v>0.16</v>
      </c>
      <c r="I101">
        <v>1.92</v>
      </c>
      <c r="J101">
        <v>0.06</v>
      </c>
      <c r="K101">
        <v>2.84</v>
      </c>
      <c r="L101">
        <v>1.5</v>
      </c>
      <c r="M101">
        <v>0.12</v>
      </c>
      <c r="N101">
        <v>0.43</v>
      </c>
      <c r="O101">
        <v>0.15</v>
      </c>
      <c r="P101">
        <v>7.0000000000000007E-2</v>
      </c>
      <c r="Q101">
        <v>2.27</v>
      </c>
      <c r="R101">
        <v>-0.57999999999999996</v>
      </c>
      <c r="S101">
        <v>1.64</v>
      </c>
      <c r="T101">
        <v>1.25</v>
      </c>
      <c r="U101" s="1" t="s">
        <v>38</v>
      </c>
    </row>
    <row r="102" spans="1:21" x14ac:dyDescent="0.3">
      <c r="A102" s="1" t="s">
        <v>132</v>
      </c>
      <c r="B102" s="1" t="s">
        <v>64</v>
      </c>
      <c r="C102">
        <v>6.69</v>
      </c>
      <c r="D102">
        <v>0.67</v>
      </c>
      <c r="E102" s="1">
        <v>3557.31</v>
      </c>
      <c r="F102">
        <v>1.1100000000000001</v>
      </c>
      <c r="G102">
        <v>1.1000000000000001</v>
      </c>
      <c r="H102">
        <v>0.83</v>
      </c>
      <c r="I102">
        <v>0.97</v>
      </c>
      <c r="J102">
        <v>0.01</v>
      </c>
      <c r="K102">
        <v>4.16</v>
      </c>
      <c r="L102">
        <v>2.5099999999999998</v>
      </c>
      <c r="M102">
        <v>2.2799999999999998</v>
      </c>
      <c r="N102">
        <v>5.54</v>
      </c>
      <c r="O102">
        <v>0.05</v>
      </c>
      <c r="P102">
        <v>0.14000000000000001</v>
      </c>
      <c r="Q102">
        <v>10.52</v>
      </c>
      <c r="R102">
        <v>6.36</v>
      </c>
      <c r="S102">
        <v>2.4</v>
      </c>
      <c r="T102">
        <v>0.4</v>
      </c>
      <c r="U102" s="1" t="s">
        <v>51</v>
      </c>
    </row>
    <row r="103" spans="1:21" x14ac:dyDescent="0.3">
      <c r="A103" s="1" t="s">
        <v>133</v>
      </c>
      <c r="B103" s="1" t="s">
        <v>21</v>
      </c>
      <c r="C103">
        <v>2.97</v>
      </c>
      <c r="D103">
        <v>0.73</v>
      </c>
      <c r="E103" s="1">
        <v>3426.39</v>
      </c>
      <c r="F103">
        <v>0.74</v>
      </c>
      <c r="G103">
        <v>0.18</v>
      </c>
      <c r="H103">
        <v>0.34</v>
      </c>
      <c r="I103">
        <v>0.89</v>
      </c>
      <c r="J103">
        <v>0.01</v>
      </c>
      <c r="K103">
        <v>2.23</v>
      </c>
      <c r="L103">
        <v>0.44</v>
      </c>
      <c r="M103">
        <v>0.26</v>
      </c>
      <c r="N103">
        <v>0.1</v>
      </c>
      <c r="O103">
        <v>0.02</v>
      </c>
      <c r="P103">
        <v>7.0000000000000007E-2</v>
      </c>
      <c r="Q103">
        <v>0.89</v>
      </c>
      <c r="R103">
        <v>-1.35</v>
      </c>
      <c r="S103">
        <v>1.29</v>
      </c>
      <c r="T103">
        <v>2.52</v>
      </c>
      <c r="U103" s="1" t="s">
        <v>51</v>
      </c>
    </row>
    <row r="104" spans="1:21" x14ac:dyDescent="0.3">
      <c r="A104" s="1" t="s">
        <v>134</v>
      </c>
      <c r="B104" s="1" t="s">
        <v>64</v>
      </c>
      <c r="C104">
        <v>0.8</v>
      </c>
      <c r="D104">
        <v>0.63</v>
      </c>
      <c r="E104" s="1">
        <v>3269.46</v>
      </c>
      <c r="F104">
        <v>0.7</v>
      </c>
      <c r="G104">
        <v>0.22</v>
      </c>
      <c r="H104">
        <v>0.77</v>
      </c>
      <c r="I104">
        <v>1.25</v>
      </c>
      <c r="J104">
        <v>0.06</v>
      </c>
      <c r="K104">
        <v>3.07</v>
      </c>
      <c r="L104">
        <v>0.69</v>
      </c>
      <c r="M104">
        <v>1.51</v>
      </c>
      <c r="N104">
        <v>59.19</v>
      </c>
      <c r="O104">
        <v>5.12</v>
      </c>
      <c r="P104">
        <v>0.06</v>
      </c>
      <c r="Q104">
        <v>66.58</v>
      </c>
      <c r="R104">
        <v>63.51</v>
      </c>
      <c r="S104">
        <v>1.77</v>
      </c>
      <c r="T104">
        <v>0.05</v>
      </c>
      <c r="U104" s="1" t="s">
        <v>38</v>
      </c>
    </row>
    <row r="105" spans="1:21" x14ac:dyDescent="0.3">
      <c r="A105" s="1" t="s">
        <v>135</v>
      </c>
      <c r="B105" s="1" t="s">
        <v>64</v>
      </c>
      <c r="C105">
        <v>15.08</v>
      </c>
      <c r="D105">
        <v>0.62</v>
      </c>
      <c r="E105" s="1">
        <v>3233.8</v>
      </c>
      <c r="F105">
        <v>0.37</v>
      </c>
      <c r="G105">
        <v>0.16</v>
      </c>
      <c r="H105">
        <v>0.57999999999999996</v>
      </c>
      <c r="I105">
        <v>0.7</v>
      </c>
      <c r="J105">
        <v>0.01</v>
      </c>
      <c r="K105">
        <v>1.89</v>
      </c>
      <c r="L105">
        <v>0.38</v>
      </c>
      <c r="M105">
        <v>0.15</v>
      </c>
      <c r="N105">
        <v>0.34</v>
      </c>
      <c r="O105">
        <v>0.05</v>
      </c>
      <c r="P105">
        <v>7.0000000000000007E-2</v>
      </c>
      <c r="Q105">
        <v>0.99</v>
      </c>
      <c r="R105">
        <v>-0.9</v>
      </c>
      <c r="S105">
        <v>1.0900000000000001</v>
      </c>
      <c r="T105">
        <v>1.91</v>
      </c>
      <c r="U105" s="1" t="s">
        <v>38</v>
      </c>
    </row>
    <row r="106" spans="1:21" x14ac:dyDescent="0.3">
      <c r="A106" s="1" t="s">
        <v>136</v>
      </c>
      <c r="B106" s="1" t="s">
        <v>60</v>
      </c>
      <c r="C106">
        <v>32.520000000000003</v>
      </c>
      <c r="D106">
        <v>0.62</v>
      </c>
      <c r="E106" s="1">
        <v>3149.43</v>
      </c>
      <c r="F106">
        <v>0.6</v>
      </c>
      <c r="G106">
        <v>0.17</v>
      </c>
      <c r="H106">
        <v>0.14000000000000001</v>
      </c>
      <c r="I106">
        <v>0.67</v>
      </c>
      <c r="J106">
        <v>0.06</v>
      </c>
      <c r="K106">
        <v>1.68</v>
      </c>
      <c r="L106">
        <v>0.34</v>
      </c>
      <c r="M106">
        <v>0.17</v>
      </c>
      <c r="N106">
        <v>0.1</v>
      </c>
      <c r="O106">
        <v>7.0000000000000007E-2</v>
      </c>
      <c r="P106">
        <v>0.03</v>
      </c>
      <c r="Q106">
        <v>0.71</v>
      </c>
      <c r="R106">
        <v>-0.96</v>
      </c>
      <c r="S106">
        <v>0.97</v>
      </c>
      <c r="T106">
        <v>2.35</v>
      </c>
      <c r="U106" s="1" t="s">
        <v>38</v>
      </c>
    </row>
    <row r="107" spans="1:21" x14ac:dyDescent="0.3">
      <c r="A107" s="1" t="s">
        <v>137</v>
      </c>
      <c r="B107" s="1" t="s">
        <v>60</v>
      </c>
      <c r="C107">
        <v>80.72</v>
      </c>
      <c r="D107">
        <v>0.69</v>
      </c>
      <c r="E107" s="1">
        <v>2930.33</v>
      </c>
      <c r="F107">
        <v>0.68</v>
      </c>
      <c r="G107">
        <v>0.08</v>
      </c>
      <c r="H107">
        <v>0.17</v>
      </c>
      <c r="I107">
        <v>1.02</v>
      </c>
      <c r="J107">
        <v>0.04</v>
      </c>
      <c r="K107">
        <v>2.15</v>
      </c>
      <c r="L107">
        <v>0.38</v>
      </c>
      <c r="M107">
        <v>0</v>
      </c>
      <c r="N107">
        <v>0</v>
      </c>
      <c r="O107">
        <v>0.02</v>
      </c>
      <c r="P107">
        <v>0.15</v>
      </c>
      <c r="Q107">
        <v>0.56000000000000005</v>
      </c>
      <c r="R107">
        <v>-1.59</v>
      </c>
      <c r="S107">
        <v>1.24</v>
      </c>
      <c r="T107">
        <v>3.86</v>
      </c>
      <c r="U107" s="1" t="s">
        <v>38</v>
      </c>
    </row>
    <row r="108" spans="1:21" x14ac:dyDescent="0.3">
      <c r="A108" s="1" t="s">
        <v>138</v>
      </c>
      <c r="B108" s="1" t="s">
        <v>24</v>
      </c>
      <c r="C108">
        <v>21.1</v>
      </c>
      <c r="D108">
        <v>0.75</v>
      </c>
      <c r="E108" s="1">
        <v>2880.03</v>
      </c>
      <c r="F108">
        <v>0.31</v>
      </c>
      <c r="G108">
        <v>0.01</v>
      </c>
      <c r="H108">
        <v>0.16</v>
      </c>
      <c r="I108">
        <v>0.52</v>
      </c>
      <c r="J108">
        <v>0.27</v>
      </c>
      <c r="K108">
        <v>1.32</v>
      </c>
      <c r="L108">
        <v>0.26</v>
      </c>
      <c r="M108">
        <v>0.02</v>
      </c>
      <c r="N108">
        <v>0.04</v>
      </c>
      <c r="O108">
        <v>7.0000000000000007E-2</v>
      </c>
      <c r="P108">
        <v>0.05</v>
      </c>
      <c r="Q108">
        <v>0.44</v>
      </c>
      <c r="R108">
        <v>-0.88</v>
      </c>
      <c r="S108">
        <v>0.77</v>
      </c>
      <c r="T108">
        <v>3.01</v>
      </c>
      <c r="U108" s="1" t="s">
        <v>37</v>
      </c>
    </row>
    <row r="109" spans="1:21" x14ac:dyDescent="0.3">
      <c r="A109" s="1" t="s">
        <v>139</v>
      </c>
      <c r="B109" s="1" t="s">
        <v>60</v>
      </c>
      <c r="C109">
        <v>168.83</v>
      </c>
      <c r="D109">
        <v>0.5</v>
      </c>
      <c r="E109" s="1">
        <v>2612.12</v>
      </c>
      <c r="F109">
        <v>0.53</v>
      </c>
      <c r="G109">
        <v>0.1</v>
      </c>
      <c r="H109">
        <v>0.19</v>
      </c>
      <c r="I109">
        <v>0.21</v>
      </c>
      <c r="J109">
        <v>0.08</v>
      </c>
      <c r="K109">
        <v>1.1599999999999999</v>
      </c>
      <c r="L109">
        <v>0.5</v>
      </c>
      <c r="M109">
        <v>0.12</v>
      </c>
      <c r="N109">
        <v>0.02</v>
      </c>
      <c r="O109">
        <v>0.02</v>
      </c>
      <c r="P109">
        <v>0.05</v>
      </c>
      <c r="Q109">
        <v>0.7</v>
      </c>
      <c r="R109">
        <v>-0.47</v>
      </c>
      <c r="S109">
        <v>0.67</v>
      </c>
      <c r="T109">
        <v>1.67</v>
      </c>
      <c r="U109" s="1" t="s">
        <v>38</v>
      </c>
    </row>
    <row r="110" spans="1:21" x14ac:dyDescent="0.3">
      <c r="A110" s="1" t="s">
        <v>140</v>
      </c>
      <c r="B110" s="1" t="s">
        <v>24</v>
      </c>
      <c r="C110">
        <v>0.74</v>
      </c>
      <c r="D110">
        <v>0.59</v>
      </c>
      <c r="E110" s="1">
        <v>2395</v>
      </c>
      <c r="F110">
        <v>0.5</v>
      </c>
      <c r="G110">
        <v>0.42</v>
      </c>
      <c r="H110">
        <v>3.03</v>
      </c>
      <c r="I110">
        <v>0.63</v>
      </c>
      <c r="J110">
        <v>0.02</v>
      </c>
      <c r="K110">
        <v>4.84</v>
      </c>
      <c r="L110">
        <v>0.28000000000000003</v>
      </c>
      <c r="M110">
        <v>0.34</v>
      </c>
      <c r="N110">
        <v>4.38</v>
      </c>
      <c r="O110">
        <v>0.01</v>
      </c>
      <c r="P110">
        <v>0.25</v>
      </c>
      <c r="Q110">
        <v>5.27</v>
      </c>
      <c r="R110">
        <v>0.43</v>
      </c>
      <c r="S110">
        <v>2.8</v>
      </c>
      <c r="T110">
        <v>0.92</v>
      </c>
      <c r="U110" s="1" t="s">
        <v>51</v>
      </c>
    </row>
    <row r="111" spans="1:21" x14ac:dyDescent="0.3">
      <c r="A111" s="1" t="s">
        <v>141</v>
      </c>
      <c r="B111" s="1" t="s">
        <v>24</v>
      </c>
      <c r="C111">
        <v>96.71</v>
      </c>
      <c r="D111">
        <v>0.66</v>
      </c>
      <c r="E111" s="1">
        <v>2379.44</v>
      </c>
      <c r="F111">
        <v>0.36</v>
      </c>
      <c r="G111">
        <v>0.03</v>
      </c>
      <c r="H111">
        <v>0.09</v>
      </c>
      <c r="I111">
        <v>0.34</v>
      </c>
      <c r="J111">
        <v>0.23</v>
      </c>
      <c r="K111">
        <v>1.1000000000000001</v>
      </c>
      <c r="L111">
        <v>0.32</v>
      </c>
      <c r="M111">
        <v>0.02</v>
      </c>
      <c r="N111">
        <v>0.09</v>
      </c>
      <c r="O111">
        <v>7.0000000000000007E-2</v>
      </c>
      <c r="P111">
        <v>0.05</v>
      </c>
      <c r="Q111">
        <v>0.54</v>
      </c>
      <c r="R111">
        <v>-0.56000000000000005</v>
      </c>
      <c r="S111">
        <v>0.64</v>
      </c>
      <c r="T111">
        <v>2.0299999999999998</v>
      </c>
      <c r="U111" s="1" t="s">
        <v>38</v>
      </c>
    </row>
    <row r="112" spans="1:21" x14ac:dyDescent="0.3">
      <c r="A112" s="1" t="s">
        <v>142</v>
      </c>
      <c r="B112" s="1" t="s">
        <v>64</v>
      </c>
      <c r="C112">
        <v>7.94</v>
      </c>
      <c r="D112">
        <v>0.61</v>
      </c>
      <c r="E112" s="1">
        <v>2269.5100000000002</v>
      </c>
      <c r="F112">
        <v>0.28000000000000003</v>
      </c>
      <c r="G112">
        <v>0.25</v>
      </c>
      <c r="H112">
        <v>0.5</v>
      </c>
      <c r="I112">
        <v>0.6</v>
      </c>
      <c r="J112">
        <v>0</v>
      </c>
      <c r="K112">
        <v>1.68</v>
      </c>
      <c r="L112">
        <v>0.33</v>
      </c>
      <c r="M112">
        <v>0.26</v>
      </c>
      <c r="N112">
        <v>0.89</v>
      </c>
      <c r="O112">
        <v>0.23</v>
      </c>
      <c r="P112">
        <v>0.06</v>
      </c>
      <c r="Q112">
        <v>1.77</v>
      </c>
      <c r="R112">
        <v>0.09</v>
      </c>
      <c r="S112">
        <v>0.97</v>
      </c>
      <c r="T112">
        <v>0.95</v>
      </c>
      <c r="U112" s="1" t="s">
        <v>51</v>
      </c>
    </row>
    <row r="113" spans="1:21" x14ac:dyDescent="0.3">
      <c r="A113" s="1" t="s">
        <v>143</v>
      </c>
      <c r="B113" s="1" t="s">
        <v>64</v>
      </c>
      <c r="C113">
        <v>10.5</v>
      </c>
      <c r="D113">
        <v>0.65</v>
      </c>
      <c r="E113" s="1">
        <v>2253.09</v>
      </c>
      <c r="F113">
        <v>0.37</v>
      </c>
      <c r="G113">
        <v>1.69</v>
      </c>
      <c r="H113">
        <v>0.17</v>
      </c>
      <c r="I113">
        <v>0.67</v>
      </c>
      <c r="J113">
        <v>0.01</v>
      </c>
      <c r="K113">
        <v>2.96</v>
      </c>
      <c r="L113">
        <v>0.59</v>
      </c>
      <c r="M113">
        <v>2.1800000000000002</v>
      </c>
      <c r="N113">
        <v>13.86</v>
      </c>
      <c r="O113">
        <v>0.05</v>
      </c>
      <c r="P113">
        <v>0.06</v>
      </c>
      <c r="Q113">
        <v>16.73</v>
      </c>
      <c r="R113">
        <v>13.77</v>
      </c>
      <c r="S113">
        <v>1.71</v>
      </c>
      <c r="T113">
        <v>0.18</v>
      </c>
      <c r="U113" s="1" t="s">
        <v>38</v>
      </c>
    </row>
    <row r="114" spans="1:21" x14ac:dyDescent="0.3">
      <c r="A114" s="1" t="s">
        <v>144</v>
      </c>
      <c r="B114" s="1" t="s">
        <v>22</v>
      </c>
      <c r="C114">
        <v>3.51</v>
      </c>
      <c r="D114">
        <v>0.68</v>
      </c>
      <c r="E114" s="1">
        <v>1971.03</v>
      </c>
      <c r="F114">
        <v>0.43</v>
      </c>
      <c r="G114">
        <v>0.08</v>
      </c>
      <c r="H114">
        <v>0.15</v>
      </c>
      <c r="I114">
        <v>1.03</v>
      </c>
      <c r="J114">
        <v>0.06</v>
      </c>
      <c r="K114">
        <v>1.78</v>
      </c>
      <c r="L114">
        <v>0.59</v>
      </c>
      <c r="M114">
        <v>7.0000000000000007E-2</v>
      </c>
      <c r="N114">
        <v>0.1</v>
      </c>
      <c r="O114">
        <v>0.01</v>
      </c>
      <c r="P114">
        <v>0.03</v>
      </c>
      <c r="Q114">
        <v>0.8</v>
      </c>
      <c r="R114">
        <v>-0.98</v>
      </c>
      <c r="S114">
        <v>1.03</v>
      </c>
      <c r="T114">
        <v>2.23</v>
      </c>
      <c r="U114" s="1" t="s">
        <v>38</v>
      </c>
    </row>
    <row r="115" spans="1:21" x14ac:dyDescent="0.3">
      <c r="A115" s="1" t="s">
        <v>145</v>
      </c>
      <c r="B115" s="1" t="s">
        <v>60</v>
      </c>
      <c r="C115">
        <v>4.34</v>
      </c>
      <c r="D115">
        <v>0.56999999999999995</v>
      </c>
      <c r="E115" s="1">
        <v>1943.69</v>
      </c>
      <c r="F115">
        <v>0.22</v>
      </c>
      <c r="G115">
        <v>0.09</v>
      </c>
      <c r="H115">
        <v>0.38</v>
      </c>
      <c r="I115">
        <v>0.47</v>
      </c>
      <c r="J115">
        <v>0.1</v>
      </c>
      <c r="K115">
        <v>1.29</v>
      </c>
      <c r="L115">
        <v>0.13</v>
      </c>
      <c r="M115">
        <v>3.06</v>
      </c>
      <c r="N115">
        <v>7.33</v>
      </c>
      <c r="O115">
        <v>0.35</v>
      </c>
      <c r="P115">
        <v>0.03</v>
      </c>
      <c r="Q115">
        <v>10.91</v>
      </c>
      <c r="R115">
        <v>9.6300000000000008</v>
      </c>
      <c r="S115">
        <v>0.74</v>
      </c>
      <c r="T115">
        <v>0.12</v>
      </c>
      <c r="U115" s="1" t="s">
        <v>38</v>
      </c>
    </row>
    <row r="116" spans="1:21" x14ac:dyDescent="0.3">
      <c r="A116" s="1" t="s">
        <v>146</v>
      </c>
      <c r="B116" s="1" t="s">
        <v>24</v>
      </c>
      <c r="C116">
        <v>7.17</v>
      </c>
      <c r="D116">
        <v>0.5</v>
      </c>
      <c r="E116" s="1">
        <v>1871.21</v>
      </c>
      <c r="F116">
        <v>0.3</v>
      </c>
      <c r="G116">
        <v>0.05</v>
      </c>
      <c r="H116">
        <v>0.36</v>
      </c>
      <c r="I116">
        <v>0.35</v>
      </c>
      <c r="J116">
        <v>0.73</v>
      </c>
      <c r="K116">
        <v>1.91</v>
      </c>
      <c r="L116">
        <v>0.36</v>
      </c>
      <c r="M116">
        <v>0.04</v>
      </c>
      <c r="N116">
        <v>2.66</v>
      </c>
      <c r="O116">
        <v>0.73</v>
      </c>
      <c r="P116">
        <v>0.13</v>
      </c>
      <c r="Q116">
        <v>3.92</v>
      </c>
      <c r="R116">
        <v>2.0099999999999998</v>
      </c>
      <c r="S116">
        <v>1.1000000000000001</v>
      </c>
      <c r="T116">
        <v>0.49</v>
      </c>
      <c r="U116" s="1" t="s">
        <v>51</v>
      </c>
    </row>
    <row r="117" spans="1:21" x14ac:dyDescent="0.3">
      <c r="A117" s="1" t="s">
        <v>147</v>
      </c>
      <c r="B117" s="1" t="s">
        <v>60</v>
      </c>
      <c r="C117">
        <v>14.08</v>
      </c>
      <c r="D117">
        <v>0.57999999999999996</v>
      </c>
      <c r="E117" s="1">
        <v>1740.64</v>
      </c>
      <c r="F117">
        <v>0.19</v>
      </c>
      <c r="G117">
        <v>0.18</v>
      </c>
      <c r="H117">
        <v>0.33</v>
      </c>
      <c r="I117">
        <v>0.24</v>
      </c>
      <c r="J117">
        <v>0.01</v>
      </c>
      <c r="K117">
        <v>0.99</v>
      </c>
      <c r="L117">
        <v>0.24</v>
      </c>
      <c r="M117">
        <v>0.94</v>
      </c>
      <c r="N117">
        <v>0.99</v>
      </c>
      <c r="O117">
        <v>0.02</v>
      </c>
      <c r="P117">
        <v>0.04</v>
      </c>
      <c r="Q117">
        <v>2.23</v>
      </c>
      <c r="R117">
        <v>1.24</v>
      </c>
      <c r="S117">
        <v>0.56999999999999995</v>
      </c>
      <c r="T117">
        <v>0.44</v>
      </c>
      <c r="U117" s="1" t="s">
        <v>37</v>
      </c>
    </row>
    <row r="118" spans="1:21" x14ac:dyDescent="0.3">
      <c r="A118" s="1" t="s">
        <v>148</v>
      </c>
      <c r="B118" s="1" t="s">
        <v>24</v>
      </c>
      <c r="C118">
        <v>0.55000000000000004</v>
      </c>
      <c r="D118">
        <v>0.5</v>
      </c>
      <c r="E118" s="1">
        <v>1647.86</v>
      </c>
      <c r="F118">
        <v>0.47</v>
      </c>
      <c r="G118">
        <v>0.03</v>
      </c>
      <c r="H118">
        <v>0.09</v>
      </c>
      <c r="I118">
        <v>0</v>
      </c>
      <c r="J118">
        <v>0.46</v>
      </c>
      <c r="K118">
        <v>1.29</v>
      </c>
      <c r="L118">
        <v>0.66</v>
      </c>
      <c r="M118">
        <v>0.01</v>
      </c>
      <c r="N118">
        <v>2.2799999999999998</v>
      </c>
      <c r="O118">
        <v>1.19</v>
      </c>
      <c r="P118">
        <v>0.23</v>
      </c>
      <c r="Q118">
        <v>4.3600000000000003</v>
      </c>
      <c r="R118">
        <v>3.08</v>
      </c>
      <c r="S118">
        <v>0.74</v>
      </c>
      <c r="T118">
        <v>0.28999999999999998</v>
      </c>
      <c r="U118" s="1" t="s">
        <v>26</v>
      </c>
    </row>
    <row r="119" spans="1:21" x14ac:dyDescent="0.3">
      <c r="A119" s="1" t="s">
        <v>149</v>
      </c>
      <c r="B119" s="1" t="s">
        <v>60</v>
      </c>
      <c r="C119">
        <v>25.37</v>
      </c>
      <c r="D119">
        <v>0.56999999999999995</v>
      </c>
      <c r="E119" s="1">
        <v>1627.9</v>
      </c>
      <c r="F119">
        <v>0.56000000000000005</v>
      </c>
      <c r="G119">
        <v>7.0000000000000007E-2</v>
      </c>
      <c r="H119">
        <v>0.65</v>
      </c>
      <c r="I119">
        <v>0.43</v>
      </c>
      <c r="J119">
        <v>0.19</v>
      </c>
      <c r="K119">
        <v>1.97</v>
      </c>
      <c r="L119">
        <v>0.67</v>
      </c>
      <c r="M119">
        <v>0.26</v>
      </c>
      <c r="N119">
        <v>0.28999999999999998</v>
      </c>
      <c r="O119">
        <v>0.06</v>
      </c>
      <c r="P119">
        <v>7.0000000000000007E-2</v>
      </c>
      <c r="Q119">
        <v>1.35</v>
      </c>
      <c r="R119">
        <v>-0.62</v>
      </c>
      <c r="S119">
        <v>1.1399999999999999</v>
      </c>
      <c r="T119">
        <v>1.46</v>
      </c>
      <c r="U119" s="1" t="s">
        <v>37</v>
      </c>
    </row>
    <row r="120" spans="1:21" x14ac:dyDescent="0.3">
      <c r="A120" s="1" t="s">
        <v>150</v>
      </c>
      <c r="B120" s="1" t="s">
        <v>64</v>
      </c>
      <c r="C120">
        <v>5.99</v>
      </c>
      <c r="D120">
        <v>0.63</v>
      </c>
      <c r="E120" s="1">
        <v>1626.85</v>
      </c>
      <c r="F120">
        <v>0.34</v>
      </c>
      <c r="G120">
        <v>0.12</v>
      </c>
      <c r="H120">
        <v>0.42</v>
      </c>
      <c r="I120">
        <v>0.45</v>
      </c>
      <c r="J120">
        <v>0.03</v>
      </c>
      <c r="K120">
        <v>1.39</v>
      </c>
      <c r="L120">
        <v>0.4</v>
      </c>
      <c r="M120">
        <v>0.57999999999999996</v>
      </c>
      <c r="N120">
        <v>0.74</v>
      </c>
      <c r="O120">
        <v>0.49</v>
      </c>
      <c r="P120">
        <v>0.05</v>
      </c>
      <c r="Q120">
        <v>2.25</v>
      </c>
      <c r="R120">
        <v>0.87</v>
      </c>
      <c r="S120">
        <v>0.8</v>
      </c>
      <c r="T120">
        <v>0.62</v>
      </c>
      <c r="U120" s="1" t="s">
        <v>38</v>
      </c>
    </row>
    <row r="121" spans="1:21" x14ac:dyDescent="0.3">
      <c r="A121" s="1" t="s">
        <v>151</v>
      </c>
      <c r="B121" s="1" t="s">
        <v>21</v>
      </c>
      <c r="C121">
        <v>28.54</v>
      </c>
      <c r="D121">
        <v>0.67</v>
      </c>
      <c r="E121" s="1">
        <v>1560.85</v>
      </c>
      <c r="F121">
        <v>0.62</v>
      </c>
      <c r="G121">
        <v>0.13</v>
      </c>
      <c r="H121">
        <v>0.08</v>
      </c>
      <c r="I121">
        <v>1.41</v>
      </c>
      <c r="J121">
        <v>0</v>
      </c>
      <c r="K121">
        <v>2.3199999999999998</v>
      </c>
      <c r="L121">
        <v>0.56000000000000005</v>
      </c>
      <c r="M121">
        <v>0.2</v>
      </c>
      <c r="N121">
        <v>0.06</v>
      </c>
      <c r="O121">
        <v>0.03</v>
      </c>
      <c r="P121">
        <v>0.08</v>
      </c>
      <c r="Q121">
        <v>0.92</v>
      </c>
      <c r="R121">
        <v>-1.4</v>
      </c>
      <c r="S121">
        <v>1.34</v>
      </c>
      <c r="T121">
        <v>2.52</v>
      </c>
      <c r="U121" s="1" t="s">
        <v>37</v>
      </c>
    </row>
    <row r="122" spans="1:21" x14ac:dyDescent="0.3">
      <c r="A122" s="1" t="s">
        <v>152</v>
      </c>
      <c r="B122" s="1" t="s">
        <v>24</v>
      </c>
      <c r="C122">
        <v>90.8</v>
      </c>
      <c r="D122">
        <v>0.66</v>
      </c>
      <c r="E122" s="1">
        <v>1532.31</v>
      </c>
      <c r="F122">
        <v>0.5</v>
      </c>
      <c r="G122">
        <v>0.01</v>
      </c>
      <c r="H122">
        <v>0.19</v>
      </c>
      <c r="I122">
        <v>0.79</v>
      </c>
      <c r="J122">
        <v>0.05</v>
      </c>
      <c r="K122">
        <v>1.65</v>
      </c>
      <c r="L122">
        <v>0.55000000000000004</v>
      </c>
      <c r="M122">
        <v>0.01</v>
      </c>
      <c r="N122">
        <v>0.17</v>
      </c>
      <c r="O122">
        <v>0.16</v>
      </c>
      <c r="P122">
        <v>0.1</v>
      </c>
      <c r="Q122">
        <v>1</v>
      </c>
      <c r="R122">
        <v>-0.65</v>
      </c>
      <c r="S122">
        <v>0.95</v>
      </c>
      <c r="T122">
        <v>1.66</v>
      </c>
      <c r="U122" s="1" t="s">
        <v>37</v>
      </c>
    </row>
    <row r="123" spans="1:21" x14ac:dyDescent="0.3">
      <c r="A123" s="1" t="s">
        <v>153</v>
      </c>
      <c r="B123" s="1" t="s">
        <v>60</v>
      </c>
      <c r="C123">
        <v>3.8</v>
      </c>
      <c r="D123">
        <v>0.5</v>
      </c>
      <c r="E123" s="1">
        <v>1524.39</v>
      </c>
      <c r="F123">
        <v>0.39</v>
      </c>
      <c r="G123">
        <v>1.2</v>
      </c>
      <c r="H123">
        <v>0.21</v>
      </c>
      <c r="I123">
        <v>0.55000000000000004</v>
      </c>
      <c r="J123">
        <v>0.15</v>
      </c>
      <c r="K123">
        <v>2.54</v>
      </c>
      <c r="L123">
        <v>0.1</v>
      </c>
      <c r="M123">
        <v>2.91</v>
      </c>
      <c r="N123">
        <v>0.05</v>
      </c>
      <c r="O123">
        <v>1.38</v>
      </c>
      <c r="P123">
        <v>0.04</v>
      </c>
      <c r="Q123">
        <v>4.4800000000000004</v>
      </c>
      <c r="R123">
        <v>1.93</v>
      </c>
      <c r="S123">
        <v>1.47</v>
      </c>
      <c r="T123">
        <v>0.56999999999999995</v>
      </c>
      <c r="U123" s="1" t="s">
        <v>51</v>
      </c>
    </row>
    <row r="124" spans="1:21" x14ac:dyDescent="0.3">
      <c r="A124" s="1" t="s">
        <v>154</v>
      </c>
      <c r="B124" s="1" t="s">
        <v>24</v>
      </c>
      <c r="C124">
        <v>1236.69</v>
      </c>
      <c r="D124">
        <v>0.6</v>
      </c>
      <c r="E124" s="1">
        <v>1513.85</v>
      </c>
      <c r="F124">
        <v>0.34</v>
      </c>
      <c r="G124">
        <v>0.01</v>
      </c>
      <c r="H124">
        <v>0.14000000000000001</v>
      </c>
      <c r="I124">
        <v>0.61</v>
      </c>
      <c r="J124">
        <v>0.02</v>
      </c>
      <c r="K124">
        <v>1.1599999999999999</v>
      </c>
      <c r="L124">
        <v>0.35</v>
      </c>
      <c r="M124">
        <v>0</v>
      </c>
      <c r="N124">
        <v>0.02</v>
      </c>
      <c r="O124">
        <v>0.03</v>
      </c>
      <c r="P124">
        <v>0.05</v>
      </c>
      <c r="Q124">
        <v>0.45</v>
      </c>
      <c r="R124">
        <v>-0.71</v>
      </c>
      <c r="S124">
        <v>0.67</v>
      </c>
      <c r="T124">
        <v>2.5499999999999998</v>
      </c>
      <c r="U124" s="1" t="s">
        <v>37</v>
      </c>
    </row>
    <row r="125" spans="1:21" x14ac:dyDescent="0.3">
      <c r="A125" s="1" t="s">
        <v>155</v>
      </c>
      <c r="B125" s="1" t="s">
        <v>60</v>
      </c>
      <c r="C125">
        <v>0.19</v>
      </c>
      <c r="D125">
        <v>0.55000000000000004</v>
      </c>
      <c r="E125" s="1">
        <v>1384.53</v>
      </c>
      <c r="F125">
        <v>0.36</v>
      </c>
      <c r="G125">
        <v>0.02</v>
      </c>
      <c r="H125">
        <v>0.27</v>
      </c>
      <c r="I125">
        <v>0.37</v>
      </c>
      <c r="J125">
        <v>0.47</v>
      </c>
      <c r="K125">
        <v>1.49</v>
      </c>
      <c r="L125">
        <v>0.25</v>
      </c>
      <c r="M125">
        <v>0</v>
      </c>
      <c r="N125">
        <v>0.22</v>
      </c>
      <c r="O125">
        <v>0.4</v>
      </c>
      <c r="P125">
        <v>0</v>
      </c>
      <c r="Q125">
        <v>0.87</v>
      </c>
      <c r="R125">
        <v>-0.61</v>
      </c>
      <c r="S125">
        <v>0.86</v>
      </c>
      <c r="T125">
        <v>1.7</v>
      </c>
      <c r="U125" s="1" t="s">
        <v>51</v>
      </c>
    </row>
    <row r="126" spans="1:21" x14ac:dyDescent="0.3">
      <c r="A126" s="1" t="s">
        <v>156</v>
      </c>
      <c r="B126" s="1" t="s">
        <v>60</v>
      </c>
      <c r="C126">
        <v>2.0499999999999998</v>
      </c>
      <c r="D126">
        <v>0.48</v>
      </c>
      <c r="E126" s="1">
        <v>1338.42</v>
      </c>
      <c r="F126">
        <v>0.22</v>
      </c>
      <c r="G126">
        <v>0.49</v>
      </c>
      <c r="H126">
        <v>0.42</v>
      </c>
      <c r="I126">
        <v>0.51</v>
      </c>
      <c r="J126">
        <v>0</v>
      </c>
      <c r="K126">
        <v>1.66</v>
      </c>
      <c r="L126">
        <v>0.04</v>
      </c>
      <c r="M126">
        <v>0.74</v>
      </c>
      <c r="N126">
        <v>0</v>
      </c>
      <c r="O126">
        <v>0</v>
      </c>
      <c r="P126">
        <v>0.01</v>
      </c>
      <c r="Q126">
        <v>0.78</v>
      </c>
      <c r="R126">
        <v>-0.87</v>
      </c>
      <c r="S126">
        <v>0.96</v>
      </c>
      <c r="T126">
        <v>2.11</v>
      </c>
      <c r="U126" s="1" t="s">
        <v>51</v>
      </c>
    </row>
    <row r="127" spans="1:21" x14ac:dyDescent="0.3">
      <c r="A127" s="1" t="s">
        <v>157</v>
      </c>
      <c r="B127" s="1" t="s">
        <v>21</v>
      </c>
      <c r="C127">
        <v>23.85</v>
      </c>
      <c r="D127">
        <v>0.5</v>
      </c>
      <c r="E127" s="1">
        <v>1302.3</v>
      </c>
      <c r="F127">
        <v>0.34</v>
      </c>
      <c r="G127">
        <v>0.14000000000000001</v>
      </c>
      <c r="H127">
        <v>0.04</v>
      </c>
      <c r="I127">
        <v>0.42</v>
      </c>
      <c r="J127">
        <v>0.04</v>
      </c>
      <c r="K127">
        <v>1.03</v>
      </c>
      <c r="L127">
        <v>0.09</v>
      </c>
      <c r="M127">
        <v>0.12</v>
      </c>
      <c r="N127">
        <v>0.04</v>
      </c>
      <c r="O127">
        <v>0.2</v>
      </c>
      <c r="P127">
        <v>0.04</v>
      </c>
      <c r="Q127">
        <v>0.5</v>
      </c>
      <c r="R127">
        <v>-0.53</v>
      </c>
      <c r="S127">
        <v>0.59</v>
      </c>
      <c r="T127">
        <v>2.06</v>
      </c>
      <c r="U127" s="1" t="s">
        <v>38</v>
      </c>
    </row>
    <row r="128" spans="1:21" x14ac:dyDescent="0.3">
      <c r="A128" s="1" t="s">
        <v>158</v>
      </c>
      <c r="B128" s="1" t="s">
        <v>60</v>
      </c>
      <c r="C128">
        <v>21.7</v>
      </c>
      <c r="D128">
        <v>0.5</v>
      </c>
      <c r="E128" s="1">
        <v>1271.21</v>
      </c>
      <c r="F128">
        <v>0.54</v>
      </c>
      <c r="G128">
        <v>0.1</v>
      </c>
      <c r="H128">
        <v>0.21</v>
      </c>
      <c r="I128">
        <v>0.19</v>
      </c>
      <c r="J128">
        <v>0.08</v>
      </c>
      <c r="K128">
        <v>1.17</v>
      </c>
      <c r="L128">
        <v>0.55000000000000004</v>
      </c>
      <c r="M128">
        <v>0.1</v>
      </c>
      <c r="N128">
        <v>0.92</v>
      </c>
      <c r="O128">
        <v>0.08</v>
      </c>
      <c r="P128">
        <v>0.05</v>
      </c>
      <c r="Q128">
        <v>1.69</v>
      </c>
      <c r="R128">
        <v>0.52</v>
      </c>
      <c r="S128">
        <v>0.68</v>
      </c>
      <c r="T128">
        <v>0.69</v>
      </c>
      <c r="U128" s="1" t="s">
        <v>37</v>
      </c>
    </row>
    <row r="129" spans="1:21" x14ac:dyDescent="0.3">
      <c r="A129" s="1" t="s">
        <v>159</v>
      </c>
      <c r="B129" s="1" t="s">
        <v>24</v>
      </c>
      <c r="C129">
        <v>6.65</v>
      </c>
      <c r="D129">
        <v>0.56000000000000005</v>
      </c>
      <c r="E129" s="1">
        <v>1236.24</v>
      </c>
      <c r="F129">
        <v>0.56999999999999995</v>
      </c>
      <c r="G129">
        <v>0.08</v>
      </c>
      <c r="H129">
        <v>0.36</v>
      </c>
      <c r="I129">
        <v>0.09</v>
      </c>
      <c r="J129">
        <v>0.01</v>
      </c>
      <c r="K129">
        <v>1.22</v>
      </c>
      <c r="L129">
        <v>0.56999999999999995</v>
      </c>
      <c r="M129">
        <v>0.13</v>
      </c>
      <c r="N129">
        <v>0.78</v>
      </c>
      <c r="O129">
        <v>0.03</v>
      </c>
      <c r="P129">
        <v>0.11</v>
      </c>
      <c r="Q129">
        <v>1.62</v>
      </c>
      <c r="R129">
        <v>0.4</v>
      </c>
      <c r="S129">
        <v>0.7</v>
      </c>
      <c r="T129">
        <v>0.75</v>
      </c>
      <c r="U129" s="1" t="s">
        <v>37</v>
      </c>
    </row>
    <row r="130" spans="1:21" x14ac:dyDescent="0.3">
      <c r="A130" s="1" t="s">
        <v>160</v>
      </c>
      <c r="B130" s="1" t="s">
        <v>24</v>
      </c>
      <c r="C130">
        <v>179.16</v>
      </c>
      <c r="D130">
        <v>0.53</v>
      </c>
      <c r="E130" s="1">
        <v>1218.5999999999999</v>
      </c>
      <c r="F130">
        <v>0.27</v>
      </c>
      <c r="G130">
        <v>0.01</v>
      </c>
      <c r="H130">
        <v>0.08</v>
      </c>
      <c r="I130">
        <v>0.38</v>
      </c>
      <c r="J130">
        <v>0.02</v>
      </c>
      <c r="K130">
        <v>0.79</v>
      </c>
      <c r="L130">
        <v>0.26</v>
      </c>
      <c r="M130">
        <v>0</v>
      </c>
      <c r="N130">
        <v>0.01</v>
      </c>
      <c r="O130">
        <v>0.04</v>
      </c>
      <c r="P130">
        <v>0.03</v>
      </c>
      <c r="Q130">
        <v>0.35</v>
      </c>
      <c r="R130">
        <v>-0.44</v>
      </c>
      <c r="S130">
        <v>0.46</v>
      </c>
      <c r="T130">
        <v>2.2799999999999998</v>
      </c>
      <c r="U130" s="1" t="s">
        <v>37</v>
      </c>
    </row>
    <row r="131" spans="1:21" x14ac:dyDescent="0.3">
      <c r="A131" s="1" t="s">
        <v>161</v>
      </c>
      <c r="B131" s="1" t="s">
        <v>60</v>
      </c>
      <c r="C131">
        <v>12.45</v>
      </c>
      <c r="D131">
        <v>0.39</v>
      </c>
      <c r="E131" s="1">
        <v>1161.22</v>
      </c>
      <c r="F131">
        <v>0.36</v>
      </c>
      <c r="G131">
        <v>0.75</v>
      </c>
      <c r="H131">
        <v>0.27</v>
      </c>
      <c r="I131">
        <v>0.01</v>
      </c>
      <c r="J131">
        <v>0.01</v>
      </c>
      <c r="K131">
        <v>1.46</v>
      </c>
      <c r="L131">
        <v>0.35</v>
      </c>
      <c r="M131">
        <v>1.1499999999999999</v>
      </c>
      <c r="N131">
        <v>0.41</v>
      </c>
      <c r="O131">
        <v>7.0000000000000007E-2</v>
      </c>
      <c r="P131">
        <v>0.05</v>
      </c>
      <c r="Q131">
        <v>2.0299999999999998</v>
      </c>
      <c r="R131">
        <v>0.56999999999999995</v>
      </c>
      <c r="S131">
        <v>0.84</v>
      </c>
      <c r="T131">
        <v>0.72</v>
      </c>
      <c r="U131" s="1" t="s">
        <v>37</v>
      </c>
    </row>
    <row r="132" spans="1:21" x14ac:dyDescent="0.3">
      <c r="A132" s="1" t="s">
        <v>162</v>
      </c>
      <c r="B132" s="1" t="s">
        <v>24</v>
      </c>
      <c r="C132">
        <v>52.8</v>
      </c>
      <c r="D132">
        <v>0.53</v>
      </c>
      <c r="E132" s="1">
        <v>1117.58</v>
      </c>
      <c r="F132">
        <v>0.8</v>
      </c>
      <c r="G132">
        <v>0.01</v>
      </c>
      <c r="H132">
        <v>0.32</v>
      </c>
      <c r="I132">
        <v>0.09</v>
      </c>
      <c r="J132">
        <v>0.1</v>
      </c>
      <c r="K132">
        <v>1.43</v>
      </c>
      <c r="L132">
        <v>0.88</v>
      </c>
      <c r="M132">
        <v>0</v>
      </c>
      <c r="N132">
        <v>0.56000000000000005</v>
      </c>
      <c r="O132">
        <v>0.28000000000000003</v>
      </c>
      <c r="P132">
        <v>0.11</v>
      </c>
      <c r="Q132">
        <v>1.84</v>
      </c>
      <c r="R132">
        <v>0.41</v>
      </c>
      <c r="S132">
        <v>0.83</v>
      </c>
      <c r="T132">
        <v>0.78</v>
      </c>
      <c r="U132" s="1" t="s">
        <v>37</v>
      </c>
    </row>
    <row r="133" spans="1:21" x14ac:dyDescent="0.3">
      <c r="A133" s="1" t="s">
        <v>163</v>
      </c>
      <c r="B133" s="1" t="s">
        <v>21</v>
      </c>
      <c r="C133">
        <v>5.47</v>
      </c>
      <c r="D133">
        <v>0.65</v>
      </c>
      <c r="E133" s="1">
        <v>1116.3699999999999</v>
      </c>
      <c r="F133">
        <v>0.59</v>
      </c>
      <c r="G133">
        <v>0.18</v>
      </c>
      <c r="H133">
        <v>0.09</v>
      </c>
      <c r="I133">
        <v>0.95</v>
      </c>
      <c r="J133">
        <v>0.01</v>
      </c>
      <c r="K133">
        <v>1.91</v>
      </c>
      <c r="L133">
        <v>0.47</v>
      </c>
      <c r="M133">
        <v>0.63</v>
      </c>
      <c r="N133">
        <v>0.06</v>
      </c>
      <c r="O133">
        <v>0.05</v>
      </c>
      <c r="P133">
        <v>0.08</v>
      </c>
      <c r="Q133">
        <v>1.3</v>
      </c>
      <c r="R133">
        <v>-0.61</v>
      </c>
      <c r="S133">
        <v>1.1000000000000001</v>
      </c>
      <c r="T133">
        <v>1.47</v>
      </c>
      <c r="U133" s="1" t="s">
        <v>51</v>
      </c>
    </row>
    <row r="134" spans="1:21" x14ac:dyDescent="0.3">
      <c r="A134" s="1" t="s">
        <v>164</v>
      </c>
      <c r="B134" s="1" t="s">
        <v>60</v>
      </c>
      <c r="C134">
        <v>13.73</v>
      </c>
      <c r="D134">
        <v>0.46</v>
      </c>
      <c r="E134" s="1">
        <v>1079.27</v>
      </c>
      <c r="F134">
        <v>0.34</v>
      </c>
      <c r="G134">
        <v>0.21</v>
      </c>
      <c r="H134">
        <v>0.21</v>
      </c>
      <c r="I134">
        <v>0.3</v>
      </c>
      <c r="J134">
        <v>0.12</v>
      </c>
      <c r="K134">
        <v>1.21</v>
      </c>
      <c r="L134">
        <v>0.21</v>
      </c>
      <c r="M134">
        <v>0.17</v>
      </c>
      <c r="N134">
        <v>0.46</v>
      </c>
      <c r="O134">
        <v>0.17</v>
      </c>
      <c r="P134">
        <v>0.02</v>
      </c>
      <c r="Q134">
        <v>1.05</v>
      </c>
      <c r="R134">
        <v>-0.16</v>
      </c>
      <c r="S134">
        <v>0.7</v>
      </c>
      <c r="T134">
        <v>1.1599999999999999</v>
      </c>
      <c r="U134" s="1" t="s">
        <v>38</v>
      </c>
    </row>
    <row r="135" spans="1:21" x14ac:dyDescent="0.3">
      <c r="A135" s="1" t="s">
        <v>165</v>
      </c>
      <c r="B135" s="1" t="s">
        <v>60</v>
      </c>
      <c r="C135">
        <v>43.18</v>
      </c>
      <c r="D135">
        <v>0.54</v>
      </c>
      <c r="E135" s="1">
        <v>1062.1099999999999</v>
      </c>
      <c r="F135">
        <v>0.25</v>
      </c>
      <c r="G135">
        <v>0.23</v>
      </c>
      <c r="H135">
        <v>0.27</v>
      </c>
      <c r="I135">
        <v>0.2</v>
      </c>
      <c r="J135">
        <v>0.05</v>
      </c>
      <c r="K135">
        <v>1.03</v>
      </c>
      <c r="L135">
        <v>0.2</v>
      </c>
      <c r="M135">
        <v>0.24</v>
      </c>
      <c r="N135">
        <v>0.02</v>
      </c>
      <c r="O135">
        <v>0.02</v>
      </c>
      <c r="P135">
        <v>0.04</v>
      </c>
      <c r="Q135">
        <v>0.51</v>
      </c>
      <c r="R135">
        <v>-0.52</v>
      </c>
      <c r="S135">
        <v>0.6</v>
      </c>
      <c r="T135">
        <v>2.02</v>
      </c>
      <c r="U135" s="1" t="s">
        <v>38</v>
      </c>
    </row>
    <row r="136" spans="1:21" x14ac:dyDescent="0.3">
      <c r="A136" s="1" t="s">
        <v>166</v>
      </c>
      <c r="B136" s="1" t="s">
        <v>60</v>
      </c>
      <c r="C136">
        <v>13.72</v>
      </c>
      <c r="D136">
        <v>0.49</v>
      </c>
      <c r="E136" s="1">
        <v>865.91</v>
      </c>
      <c r="F136">
        <v>0.2</v>
      </c>
      <c r="G136">
        <v>0.32</v>
      </c>
      <c r="H136">
        <v>0.28999999999999998</v>
      </c>
      <c r="I136">
        <v>0.53</v>
      </c>
      <c r="J136">
        <v>0.01</v>
      </c>
      <c r="K136">
        <v>1.37</v>
      </c>
      <c r="L136">
        <v>0.15</v>
      </c>
      <c r="M136">
        <v>0.32</v>
      </c>
      <c r="N136">
        <v>0.12</v>
      </c>
      <c r="O136">
        <v>0.01</v>
      </c>
      <c r="P136">
        <v>0.02</v>
      </c>
      <c r="Q136">
        <v>0.62</v>
      </c>
      <c r="R136">
        <v>-0.75</v>
      </c>
      <c r="S136">
        <v>0.79</v>
      </c>
      <c r="T136">
        <v>2.2000000000000002</v>
      </c>
      <c r="U136" s="1" t="s">
        <v>37</v>
      </c>
    </row>
    <row r="137" spans="1:21" x14ac:dyDescent="0.3">
      <c r="A137" s="1" t="s">
        <v>167</v>
      </c>
      <c r="B137" s="1" t="s">
        <v>60</v>
      </c>
      <c r="C137">
        <v>0.72</v>
      </c>
      <c r="D137">
        <v>0.5</v>
      </c>
      <c r="E137" s="1">
        <v>860.24</v>
      </c>
      <c r="F137">
        <v>0.33</v>
      </c>
      <c r="G137">
        <v>0.03</v>
      </c>
      <c r="H137">
        <v>0.18</v>
      </c>
      <c r="I137">
        <v>0.25</v>
      </c>
      <c r="J137">
        <v>0.25</v>
      </c>
      <c r="K137">
        <v>1.03</v>
      </c>
      <c r="L137">
        <v>0.23</v>
      </c>
      <c r="M137">
        <v>0.01</v>
      </c>
      <c r="N137">
        <v>0.02</v>
      </c>
      <c r="O137">
        <v>7.0000000000000007E-2</v>
      </c>
      <c r="P137">
        <v>0</v>
      </c>
      <c r="Q137">
        <v>0.32</v>
      </c>
      <c r="R137">
        <v>-0.7</v>
      </c>
      <c r="S137">
        <v>0.59</v>
      </c>
      <c r="T137">
        <v>3.17</v>
      </c>
      <c r="U137" s="1" t="s">
        <v>51</v>
      </c>
    </row>
    <row r="138" spans="1:21" x14ac:dyDescent="0.3">
      <c r="A138" s="1" t="s">
        <v>168</v>
      </c>
      <c r="B138" s="1" t="s">
        <v>24</v>
      </c>
      <c r="C138">
        <v>154.69999999999999</v>
      </c>
      <c r="D138">
        <v>0.56000000000000005</v>
      </c>
      <c r="E138" s="1">
        <v>857.5</v>
      </c>
      <c r="F138">
        <v>0.28999999999999998</v>
      </c>
      <c r="G138">
        <v>0</v>
      </c>
      <c r="H138">
        <v>0.08</v>
      </c>
      <c r="I138">
        <v>0.26</v>
      </c>
      <c r="J138">
        <v>0.02</v>
      </c>
      <c r="K138">
        <v>0.72</v>
      </c>
      <c r="L138">
        <v>0.25</v>
      </c>
      <c r="M138">
        <v>0</v>
      </c>
      <c r="N138">
        <v>0</v>
      </c>
      <c r="O138">
        <v>0.05</v>
      </c>
      <c r="P138">
        <v>7.0000000000000007E-2</v>
      </c>
      <c r="Q138">
        <v>0.38</v>
      </c>
      <c r="R138">
        <v>-0.35</v>
      </c>
      <c r="S138">
        <v>0.42</v>
      </c>
      <c r="T138">
        <v>1.92</v>
      </c>
      <c r="U138" s="1" t="s">
        <v>37</v>
      </c>
    </row>
    <row r="139" spans="1:21" x14ac:dyDescent="0.3">
      <c r="A139" s="1" t="s">
        <v>169</v>
      </c>
      <c r="B139" s="1" t="s">
        <v>21</v>
      </c>
      <c r="C139">
        <v>8.01</v>
      </c>
      <c r="D139">
        <v>0.62</v>
      </c>
      <c r="E139" s="1">
        <v>836.17</v>
      </c>
      <c r="F139">
        <v>0.46</v>
      </c>
      <c r="G139">
        <v>0.14000000000000001</v>
      </c>
      <c r="H139">
        <v>0.1</v>
      </c>
      <c r="I139">
        <v>0.13</v>
      </c>
      <c r="J139">
        <v>0</v>
      </c>
      <c r="K139">
        <v>0.91</v>
      </c>
      <c r="L139">
        <v>0.28999999999999998</v>
      </c>
      <c r="M139">
        <v>0.14000000000000001</v>
      </c>
      <c r="N139">
        <v>0.01</v>
      </c>
      <c r="O139">
        <v>0.01</v>
      </c>
      <c r="P139">
        <v>0.08</v>
      </c>
      <c r="Q139">
        <v>0.53</v>
      </c>
      <c r="R139">
        <v>-0.38</v>
      </c>
      <c r="S139">
        <v>0.52</v>
      </c>
      <c r="T139">
        <v>1.71</v>
      </c>
      <c r="U139" s="1" t="s">
        <v>38</v>
      </c>
    </row>
    <row r="140" spans="1:21" x14ac:dyDescent="0.3">
      <c r="A140" s="1" t="s">
        <v>170</v>
      </c>
      <c r="B140" s="1" t="s">
        <v>60</v>
      </c>
      <c r="C140">
        <v>47.78</v>
      </c>
      <c r="D140">
        <v>0.51</v>
      </c>
      <c r="E140" s="1">
        <v>765.33</v>
      </c>
      <c r="F140">
        <v>0.44</v>
      </c>
      <c r="G140">
        <v>0.34</v>
      </c>
      <c r="H140">
        <v>0.23</v>
      </c>
      <c r="I140">
        <v>0.17</v>
      </c>
      <c r="J140">
        <v>0.09</v>
      </c>
      <c r="K140">
        <v>1.32</v>
      </c>
      <c r="L140">
        <v>0.46</v>
      </c>
      <c r="M140">
        <v>0.34</v>
      </c>
      <c r="N140">
        <v>0.17</v>
      </c>
      <c r="O140">
        <v>0.06</v>
      </c>
      <c r="P140">
        <v>0.06</v>
      </c>
      <c r="Q140">
        <v>1.08</v>
      </c>
      <c r="R140">
        <v>-0.24</v>
      </c>
      <c r="S140">
        <v>0.76</v>
      </c>
      <c r="T140">
        <v>1.23</v>
      </c>
      <c r="U140" s="1" t="s">
        <v>37</v>
      </c>
    </row>
    <row r="141" spans="1:21" x14ac:dyDescent="0.3">
      <c r="A141" s="1" t="s">
        <v>171</v>
      </c>
      <c r="B141" s="1" t="s">
        <v>64</v>
      </c>
      <c r="C141">
        <v>10.17</v>
      </c>
      <c r="D141">
        <v>0.48</v>
      </c>
      <c r="E141" s="1">
        <v>749.13</v>
      </c>
      <c r="F141">
        <v>0.27</v>
      </c>
      <c r="G141">
        <v>0.04</v>
      </c>
      <c r="H141">
        <v>0.1</v>
      </c>
      <c r="I141">
        <v>0.15</v>
      </c>
      <c r="J141">
        <v>0.01</v>
      </c>
      <c r="K141">
        <v>0.61</v>
      </c>
      <c r="L141">
        <v>0.18</v>
      </c>
      <c r="M141">
        <v>0.03</v>
      </c>
      <c r="N141">
        <v>0.01</v>
      </c>
      <c r="O141">
        <v>0.01</v>
      </c>
      <c r="P141">
        <v>0.03</v>
      </c>
      <c r="Q141">
        <v>0.27</v>
      </c>
      <c r="R141">
        <v>-0.34</v>
      </c>
      <c r="S141">
        <v>0.35</v>
      </c>
      <c r="T141">
        <v>2.2799999999999998</v>
      </c>
      <c r="U141" s="1" t="s">
        <v>37</v>
      </c>
    </row>
    <row r="142" spans="1:21" x14ac:dyDescent="0.3">
      <c r="A142" s="1" t="s">
        <v>172</v>
      </c>
      <c r="B142" s="1" t="s">
        <v>60</v>
      </c>
      <c r="C142">
        <v>10.050000000000001</v>
      </c>
      <c r="D142">
        <v>0.48</v>
      </c>
      <c r="E142" s="1">
        <v>746.83</v>
      </c>
      <c r="F142">
        <v>0.49</v>
      </c>
      <c r="G142">
        <v>0.04</v>
      </c>
      <c r="H142">
        <v>0.26</v>
      </c>
      <c r="I142">
        <v>0.51</v>
      </c>
      <c r="J142">
        <v>0.08</v>
      </c>
      <c r="K142">
        <v>1.41</v>
      </c>
      <c r="L142">
        <v>0.44</v>
      </c>
      <c r="M142">
        <v>0.04</v>
      </c>
      <c r="N142">
        <v>0.34</v>
      </c>
      <c r="O142">
        <v>0.02</v>
      </c>
      <c r="P142">
        <v>0.04</v>
      </c>
      <c r="Q142">
        <v>0.88</v>
      </c>
      <c r="R142">
        <v>-0.53</v>
      </c>
      <c r="S142">
        <v>0.81</v>
      </c>
      <c r="T142">
        <v>1.61</v>
      </c>
      <c r="U142" s="1" t="s">
        <v>37</v>
      </c>
    </row>
    <row r="143" spans="1:21" x14ac:dyDescent="0.3">
      <c r="A143" s="1" t="s">
        <v>173</v>
      </c>
      <c r="B143" s="1" t="s">
        <v>60</v>
      </c>
      <c r="C143">
        <v>14.85</v>
      </c>
      <c r="D143">
        <v>0.41</v>
      </c>
      <c r="E143" s="1">
        <v>741.22</v>
      </c>
      <c r="F143">
        <v>0.52</v>
      </c>
      <c r="G143">
        <v>0.66</v>
      </c>
      <c r="H143">
        <v>0.17</v>
      </c>
      <c r="I143">
        <v>0.1</v>
      </c>
      <c r="J143">
        <v>0.03</v>
      </c>
      <c r="K143">
        <v>1.53</v>
      </c>
      <c r="L143">
        <v>0.51</v>
      </c>
      <c r="M143">
        <v>0.71</v>
      </c>
      <c r="N143">
        <v>0.25</v>
      </c>
      <c r="O143">
        <v>0.05</v>
      </c>
      <c r="P143">
        <v>0.06</v>
      </c>
      <c r="Q143">
        <v>1.58</v>
      </c>
      <c r="R143">
        <v>0.05</v>
      </c>
      <c r="S143">
        <v>0.88</v>
      </c>
      <c r="T143">
        <v>0.97</v>
      </c>
      <c r="U143" s="1" t="s">
        <v>37</v>
      </c>
    </row>
    <row r="144" spans="1:21" x14ac:dyDescent="0.3">
      <c r="A144" s="1" t="s">
        <v>174</v>
      </c>
      <c r="B144" s="1" t="s">
        <v>24</v>
      </c>
      <c r="C144">
        <v>27.47</v>
      </c>
      <c r="D144">
        <v>0.54</v>
      </c>
      <c r="E144" s="1">
        <v>700.07</v>
      </c>
      <c r="F144">
        <v>0.43</v>
      </c>
      <c r="G144">
        <v>7.0000000000000007E-2</v>
      </c>
      <c r="H144">
        <v>0.21</v>
      </c>
      <c r="I144">
        <v>0.16</v>
      </c>
      <c r="J144">
        <v>0</v>
      </c>
      <c r="K144">
        <v>0.98</v>
      </c>
      <c r="L144">
        <v>0.37</v>
      </c>
      <c r="M144">
        <v>0.05</v>
      </c>
      <c r="N144">
        <v>0.06</v>
      </c>
      <c r="O144">
        <v>0.01</v>
      </c>
      <c r="P144">
        <v>0.11</v>
      </c>
      <c r="Q144">
        <v>0.59</v>
      </c>
      <c r="R144">
        <v>-0.38</v>
      </c>
      <c r="S144">
        <v>0.56000000000000005</v>
      </c>
      <c r="T144">
        <v>1.65</v>
      </c>
      <c r="U144" s="1" t="s">
        <v>37</v>
      </c>
    </row>
    <row r="145" spans="1:21" x14ac:dyDescent="0.3">
      <c r="A145" s="1" t="s">
        <v>175</v>
      </c>
      <c r="B145" s="1" t="s">
        <v>60</v>
      </c>
      <c r="C145">
        <v>1.66</v>
      </c>
      <c r="D145">
        <v>0.42</v>
      </c>
      <c r="E145" s="1">
        <v>681.25</v>
      </c>
      <c r="F145">
        <v>0.35</v>
      </c>
      <c r="G145">
        <v>0.36</v>
      </c>
      <c r="H145">
        <v>0.67</v>
      </c>
      <c r="I145">
        <v>0.09</v>
      </c>
      <c r="J145">
        <v>0.01</v>
      </c>
      <c r="K145">
        <v>1.53</v>
      </c>
      <c r="L145">
        <v>0.48</v>
      </c>
      <c r="M145">
        <v>0.36</v>
      </c>
      <c r="N145">
        <v>0.34</v>
      </c>
      <c r="O145">
        <v>1.79</v>
      </c>
      <c r="P145">
        <v>0.06</v>
      </c>
      <c r="Q145">
        <v>3.03</v>
      </c>
      <c r="R145">
        <v>1.49</v>
      </c>
      <c r="S145">
        <v>0.89</v>
      </c>
      <c r="T145">
        <v>0.51</v>
      </c>
      <c r="U145" s="1" t="s">
        <v>37</v>
      </c>
    </row>
    <row r="146" spans="1:21" x14ac:dyDescent="0.3">
      <c r="A146" s="1" t="s">
        <v>176</v>
      </c>
      <c r="B146" s="1" t="s">
        <v>60</v>
      </c>
      <c r="C146">
        <v>16.46</v>
      </c>
      <c r="D146">
        <v>0.39</v>
      </c>
      <c r="E146" s="1">
        <v>671.07</v>
      </c>
      <c r="F146">
        <v>0.47</v>
      </c>
      <c r="G146">
        <v>0.17</v>
      </c>
      <c r="H146">
        <v>0.36</v>
      </c>
      <c r="I146">
        <v>0.12</v>
      </c>
      <c r="J146">
        <v>0.03</v>
      </c>
      <c r="K146">
        <v>1.21</v>
      </c>
      <c r="L146">
        <v>0.5</v>
      </c>
      <c r="M146">
        <v>0.17</v>
      </c>
      <c r="N146">
        <v>0.25</v>
      </c>
      <c r="O146">
        <v>0</v>
      </c>
      <c r="P146">
        <v>0.05</v>
      </c>
      <c r="Q146">
        <v>0.98</v>
      </c>
      <c r="R146">
        <v>-0.22</v>
      </c>
      <c r="S146">
        <v>0.7</v>
      </c>
      <c r="T146">
        <v>1.23</v>
      </c>
      <c r="U146" s="1" t="s">
        <v>38</v>
      </c>
    </row>
    <row r="147" spans="1:21" x14ac:dyDescent="0.3">
      <c r="A147" s="1" t="s">
        <v>177</v>
      </c>
      <c r="B147" s="1" t="s">
        <v>60</v>
      </c>
      <c r="C147">
        <v>11.46</v>
      </c>
      <c r="D147">
        <v>0.48</v>
      </c>
      <c r="E147" s="1">
        <v>628.08000000000004</v>
      </c>
      <c r="F147">
        <v>0.43</v>
      </c>
      <c r="G147">
        <v>0.05</v>
      </c>
      <c r="H147">
        <v>0.25</v>
      </c>
      <c r="I147">
        <v>7.0000000000000007E-2</v>
      </c>
      <c r="J147">
        <v>0.01</v>
      </c>
      <c r="K147">
        <v>0.87</v>
      </c>
      <c r="L147">
        <v>0.42</v>
      </c>
      <c r="M147">
        <v>0.05</v>
      </c>
      <c r="N147">
        <v>0.01</v>
      </c>
      <c r="O147">
        <v>0.01</v>
      </c>
      <c r="P147">
        <v>0.05</v>
      </c>
      <c r="Q147">
        <v>0.54</v>
      </c>
      <c r="R147">
        <v>-0.32</v>
      </c>
      <c r="S147">
        <v>0.5</v>
      </c>
      <c r="T147">
        <v>1.6</v>
      </c>
      <c r="U147" s="1" t="s">
        <v>38</v>
      </c>
    </row>
    <row r="148" spans="1:21" x14ac:dyDescent="0.3">
      <c r="A148" s="1" t="s">
        <v>178</v>
      </c>
      <c r="B148" s="1" t="s">
        <v>21</v>
      </c>
      <c r="C148">
        <v>29.82</v>
      </c>
      <c r="D148">
        <v>0.46</v>
      </c>
      <c r="E148" s="1">
        <v>614.66</v>
      </c>
      <c r="F148">
        <v>0.3</v>
      </c>
      <c r="G148">
        <v>0.2</v>
      </c>
      <c r="H148">
        <v>0.08</v>
      </c>
      <c r="I148">
        <v>0.18</v>
      </c>
      <c r="J148">
        <v>0</v>
      </c>
      <c r="K148">
        <v>0.79</v>
      </c>
      <c r="L148">
        <v>0.24</v>
      </c>
      <c r="M148">
        <v>0.2</v>
      </c>
      <c r="N148">
        <v>0.02</v>
      </c>
      <c r="O148">
        <v>0</v>
      </c>
      <c r="P148">
        <v>0.04</v>
      </c>
      <c r="Q148">
        <v>0.5</v>
      </c>
      <c r="R148">
        <v>-0.3</v>
      </c>
      <c r="S148">
        <v>0.46</v>
      </c>
      <c r="T148">
        <v>1.6</v>
      </c>
      <c r="U148" s="1" t="s">
        <v>37</v>
      </c>
    </row>
    <row r="149" spans="1:21" x14ac:dyDescent="0.3">
      <c r="A149" s="1" t="s">
        <v>179</v>
      </c>
      <c r="B149" s="1" t="s">
        <v>60</v>
      </c>
      <c r="C149">
        <v>36.35</v>
      </c>
      <c r="D149">
        <v>0.48</v>
      </c>
      <c r="E149" s="1">
        <v>601.35</v>
      </c>
      <c r="F149">
        <v>0.34</v>
      </c>
      <c r="G149">
        <v>0.15</v>
      </c>
      <c r="H149">
        <v>0.54</v>
      </c>
      <c r="I149">
        <v>0.08</v>
      </c>
      <c r="J149">
        <v>0.11</v>
      </c>
      <c r="K149">
        <v>1.24</v>
      </c>
      <c r="L149">
        <v>0.35</v>
      </c>
      <c r="M149">
        <v>0.15</v>
      </c>
      <c r="N149">
        <v>0.01</v>
      </c>
      <c r="O149">
        <v>0.04</v>
      </c>
      <c r="P149">
        <v>0.04</v>
      </c>
      <c r="Q149">
        <v>0.59</v>
      </c>
      <c r="R149">
        <v>-0.66</v>
      </c>
      <c r="S149">
        <v>0.72</v>
      </c>
      <c r="T149">
        <v>2.12</v>
      </c>
      <c r="U149" s="1" t="s">
        <v>37</v>
      </c>
    </row>
    <row r="150" spans="1:21" x14ac:dyDescent="0.3">
      <c r="A150" s="1" t="s">
        <v>180</v>
      </c>
      <c r="B150" s="1" t="s">
        <v>60</v>
      </c>
      <c r="C150">
        <v>6.64</v>
      </c>
      <c r="D150">
        <v>0.47</v>
      </c>
      <c r="E150" s="1">
        <v>580.86</v>
      </c>
      <c r="F150">
        <v>0.34</v>
      </c>
      <c r="G150">
        <v>0.1</v>
      </c>
      <c r="H150">
        <v>0.27</v>
      </c>
      <c r="I150">
        <v>0.31</v>
      </c>
      <c r="J150">
        <v>0.08</v>
      </c>
      <c r="K150">
        <v>1.1299999999999999</v>
      </c>
      <c r="L150">
        <v>0.34</v>
      </c>
      <c r="M150">
        <v>0.12</v>
      </c>
      <c r="N150">
        <v>0.03</v>
      </c>
      <c r="O150">
        <v>0.02</v>
      </c>
      <c r="P150">
        <v>0.02</v>
      </c>
      <c r="Q150">
        <v>0.53</v>
      </c>
      <c r="R150">
        <v>-0.6</v>
      </c>
      <c r="S150">
        <v>0.65</v>
      </c>
      <c r="T150">
        <v>2.13</v>
      </c>
      <c r="U150" s="1" t="s">
        <v>37</v>
      </c>
    </row>
    <row r="151" spans="1:21" x14ac:dyDescent="0.3">
      <c r="A151" s="1" t="s">
        <v>181</v>
      </c>
      <c r="B151" s="1" t="s">
        <v>60</v>
      </c>
      <c r="C151">
        <v>25.2</v>
      </c>
      <c r="D151">
        <v>0.41</v>
      </c>
      <c r="E151" s="1">
        <v>538.82000000000005</v>
      </c>
      <c r="F151">
        <v>0.31</v>
      </c>
      <c r="G151">
        <v>0.03</v>
      </c>
      <c r="H151">
        <v>0.28999999999999998</v>
      </c>
      <c r="I151">
        <v>0.17</v>
      </c>
      <c r="J151">
        <v>0.03</v>
      </c>
      <c r="K151">
        <v>0.87</v>
      </c>
      <c r="L151">
        <v>0.28000000000000003</v>
      </c>
      <c r="M151">
        <v>0.96</v>
      </c>
      <c r="N151">
        <v>0.61</v>
      </c>
      <c r="O151">
        <v>0.17</v>
      </c>
      <c r="P151">
        <v>0.05</v>
      </c>
      <c r="Q151">
        <v>2.06</v>
      </c>
      <c r="R151">
        <v>1.19</v>
      </c>
      <c r="S151">
        <v>0.5</v>
      </c>
      <c r="T151">
        <v>0.42</v>
      </c>
      <c r="U151" s="1" t="s">
        <v>38</v>
      </c>
    </row>
    <row r="152" spans="1:21" x14ac:dyDescent="0.3">
      <c r="A152" s="1" t="s">
        <v>182</v>
      </c>
      <c r="B152" s="1" t="s">
        <v>60</v>
      </c>
      <c r="C152">
        <v>1.79</v>
      </c>
      <c r="D152">
        <v>0.44</v>
      </c>
      <c r="E152" s="1">
        <v>505.76</v>
      </c>
      <c r="F152">
        <v>0.46</v>
      </c>
      <c r="G152">
        <v>0.05</v>
      </c>
      <c r="H152">
        <v>0.2</v>
      </c>
      <c r="I152">
        <v>0.21</v>
      </c>
      <c r="J152">
        <v>0.08</v>
      </c>
      <c r="K152">
        <v>1.03</v>
      </c>
      <c r="L152">
        <v>0.23</v>
      </c>
      <c r="M152">
        <v>0.04</v>
      </c>
      <c r="N152">
        <v>0.2</v>
      </c>
      <c r="O152">
        <v>0.32</v>
      </c>
      <c r="P152">
        <v>0.03</v>
      </c>
      <c r="Q152">
        <v>0.82</v>
      </c>
      <c r="R152">
        <v>-0.21</v>
      </c>
      <c r="S152">
        <v>0.6</v>
      </c>
      <c r="T152">
        <v>1.25</v>
      </c>
      <c r="U152" s="1" t="s">
        <v>38</v>
      </c>
    </row>
    <row r="153" spans="1:21" x14ac:dyDescent="0.3">
      <c r="A153" s="1" t="s">
        <v>183</v>
      </c>
      <c r="B153" s="1" t="s">
        <v>60</v>
      </c>
      <c r="C153">
        <v>5.98</v>
      </c>
      <c r="D153">
        <v>0.4</v>
      </c>
      <c r="E153" s="1">
        <v>499.89</v>
      </c>
      <c r="F153">
        <v>0.47</v>
      </c>
      <c r="G153">
        <v>0.11</v>
      </c>
      <c r="H153">
        <v>0.38</v>
      </c>
      <c r="I153">
        <v>7.0000000000000007E-2</v>
      </c>
      <c r="J153">
        <v>0.15</v>
      </c>
      <c r="K153">
        <v>1.24</v>
      </c>
      <c r="L153">
        <v>0.42</v>
      </c>
      <c r="M153">
        <v>0.35</v>
      </c>
      <c r="N153">
        <v>0.19</v>
      </c>
      <c r="O153">
        <v>0.22</v>
      </c>
      <c r="P153">
        <v>0.05</v>
      </c>
      <c r="Q153">
        <v>1.24</v>
      </c>
      <c r="R153">
        <v>0</v>
      </c>
      <c r="S153">
        <v>0.71</v>
      </c>
      <c r="T153">
        <v>1</v>
      </c>
      <c r="U153" s="1" t="s">
        <v>37</v>
      </c>
    </row>
    <row r="154" spans="1:21" x14ac:dyDescent="0.3">
      <c r="A154" s="1" t="s">
        <v>184</v>
      </c>
      <c r="B154" s="1" t="s">
        <v>60</v>
      </c>
      <c r="C154">
        <v>4.53</v>
      </c>
      <c r="D154">
        <v>0.37</v>
      </c>
      <c r="E154" s="1">
        <v>495.04</v>
      </c>
      <c r="F154">
        <v>0.3</v>
      </c>
      <c r="G154">
        <v>0.55000000000000004</v>
      </c>
      <c r="H154">
        <v>0.26</v>
      </c>
      <c r="I154">
        <v>0.08</v>
      </c>
      <c r="J154">
        <v>0.02</v>
      </c>
      <c r="K154">
        <v>1.24</v>
      </c>
      <c r="L154">
        <v>0.28999999999999998</v>
      </c>
      <c r="M154">
        <v>0.56999999999999995</v>
      </c>
      <c r="N154">
        <v>6.98</v>
      </c>
      <c r="O154">
        <v>0</v>
      </c>
      <c r="P154">
        <v>0.04</v>
      </c>
      <c r="Q154">
        <v>7.87</v>
      </c>
      <c r="R154">
        <v>6.62</v>
      </c>
      <c r="S154">
        <v>0.72</v>
      </c>
      <c r="T154">
        <v>0.16</v>
      </c>
      <c r="U154" s="1" t="s">
        <v>37</v>
      </c>
    </row>
    <row r="155" spans="1:21" x14ac:dyDescent="0.3">
      <c r="A155" s="1" t="s">
        <v>185</v>
      </c>
      <c r="B155" s="1" t="s">
        <v>60</v>
      </c>
      <c r="C155">
        <v>15.91</v>
      </c>
      <c r="D155">
        <v>0.43</v>
      </c>
      <c r="E155" s="1">
        <v>493.84</v>
      </c>
      <c r="F155">
        <v>0.43</v>
      </c>
      <c r="G155">
        <v>0.05</v>
      </c>
      <c r="H155">
        <v>0.2</v>
      </c>
      <c r="I155">
        <v>7.0000000000000007E-2</v>
      </c>
      <c r="J155">
        <v>0.01</v>
      </c>
      <c r="K155">
        <v>0.81</v>
      </c>
      <c r="L155">
        <v>0.45</v>
      </c>
      <c r="M155">
        <v>7.0000000000000007E-2</v>
      </c>
      <c r="N155">
        <v>0.02</v>
      </c>
      <c r="O155">
        <v>0.06</v>
      </c>
      <c r="P155">
        <v>0.05</v>
      </c>
      <c r="Q155">
        <v>0.66</v>
      </c>
      <c r="R155">
        <v>-0.15</v>
      </c>
      <c r="S155">
        <v>0.47</v>
      </c>
      <c r="T155">
        <v>1.22</v>
      </c>
      <c r="U155" s="1" t="s">
        <v>38</v>
      </c>
    </row>
    <row r="156" spans="1:21" x14ac:dyDescent="0.3">
      <c r="A156" s="1" t="s">
        <v>186</v>
      </c>
      <c r="B156" s="1" t="s">
        <v>60</v>
      </c>
      <c r="C156">
        <v>11.45</v>
      </c>
      <c r="D156">
        <v>0.41</v>
      </c>
      <c r="E156" s="1">
        <v>459.09</v>
      </c>
      <c r="F156">
        <v>0.39</v>
      </c>
      <c r="G156">
        <v>0.32</v>
      </c>
      <c r="H156">
        <v>0.45</v>
      </c>
      <c r="I156">
        <v>0.16</v>
      </c>
      <c r="J156">
        <v>0.05</v>
      </c>
      <c r="K156">
        <v>1.41</v>
      </c>
      <c r="L156">
        <v>0.35</v>
      </c>
      <c r="M156">
        <v>0.75</v>
      </c>
      <c r="N156">
        <v>0.64</v>
      </c>
      <c r="O156">
        <v>0.3</v>
      </c>
      <c r="P156">
        <v>0.04</v>
      </c>
      <c r="Q156">
        <v>2.09</v>
      </c>
      <c r="R156">
        <v>0.68</v>
      </c>
      <c r="S156">
        <v>0.81</v>
      </c>
      <c r="T156">
        <v>0.67</v>
      </c>
      <c r="U156" s="1" t="s">
        <v>38</v>
      </c>
    </row>
    <row r="157" spans="1:21" x14ac:dyDescent="0.3">
      <c r="A157" s="1" t="s">
        <v>187</v>
      </c>
      <c r="B157" s="1" t="s">
        <v>60</v>
      </c>
      <c r="C157">
        <v>22.29</v>
      </c>
      <c r="D157">
        <v>0.51</v>
      </c>
      <c r="E157" s="1">
        <v>456.33</v>
      </c>
      <c r="F157">
        <v>0.27</v>
      </c>
      <c r="G157">
        <v>0.34</v>
      </c>
      <c r="H157">
        <v>0.24</v>
      </c>
      <c r="I157">
        <v>7.0000000000000007E-2</v>
      </c>
      <c r="J157">
        <v>0.02</v>
      </c>
      <c r="K157">
        <v>0.99</v>
      </c>
      <c r="L157">
        <v>0.26</v>
      </c>
      <c r="M157">
        <v>1.3</v>
      </c>
      <c r="N157">
        <v>0.8</v>
      </c>
      <c r="O157">
        <v>0.21</v>
      </c>
      <c r="P157">
        <v>0.06</v>
      </c>
      <c r="Q157">
        <v>2.63</v>
      </c>
      <c r="R157">
        <v>1.64</v>
      </c>
      <c r="S157">
        <v>0.56999999999999995</v>
      </c>
      <c r="T157">
        <v>0.38</v>
      </c>
      <c r="U157" s="1" t="s">
        <v>37</v>
      </c>
    </row>
    <row r="158" spans="1:21" x14ac:dyDescent="0.3">
      <c r="A158" s="1" t="s">
        <v>188</v>
      </c>
      <c r="B158" s="1" t="s">
        <v>60</v>
      </c>
      <c r="C158">
        <v>6.13</v>
      </c>
      <c r="D158">
        <v>0.39</v>
      </c>
      <c r="E158" s="1">
        <v>439.73</v>
      </c>
      <c r="F158">
        <v>0.1</v>
      </c>
      <c r="G158">
        <v>0.18</v>
      </c>
      <c r="H158">
        <v>0.06</v>
      </c>
      <c r="I158">
        <v>0.03</v>
      </c>
      <c r="J158">
        <v>0.01</v>
      </c>
      <c r="K158">
        <v>0.42</v>
      </c>
      <c r="L158">
        <v>7.0000000000000007E-2</v>
      </c>
      <c r="M158">
        <v>0.18</v>
      </c>
      <c r="N158">
        <v>0.09</v>
      </c>
      <c r="O158">
        <v>0.93</v>
      </c>
      <c r="P158">
        <v>0.02</v>
      </c>
      <c r="Q158">
        <v>1.3</v>
      </c>
      <c r="R158">
        <v>0.88</v>
      </c>
      <c r="S158">
        <v>0.24</v>
      </c>
      <c r="T158">
        <v>0.32</v>
      </c>
      <c r="U158" s="1" t="s">
        <v>38</v>
      </c>
    </row>
    <row r="159" spans="1:21" x14ac:dyDescent="0.3">
      <c r="A159" s="1" t="s">
        <v>189</v>
      </c>
      <c r="B159" s="1" t="s">
        <v>60</v>
      </c>
      <c r="C159">
        <v>17.16</v>
      </c>
      <c r="D159">
        <v>0.34</v>
      </c>
      <c r="E159" s="1">
        <v>410.91</v>
      </c>
      <c r="F159">
        <v>0.67</v>
      </c>
      <c r="G159">
        <v>0.48</v>
      </c>
      <c r="H159">
        <v>0.26</v>
      </c>
      <c r="I159">
        <v>0.1</v>
      </c>
      <c r="J159">
        <v>0.02</v>
      </c>
      <c r="K159">
        <v>1.56</v>
      </c>
      <c r="L159">
        <v>0.65</v>
      </c>
      <c r="M159">
        <v>0.51</v>
      </c>
      <c r="N159">
        <v>0.05</v>
      </c>
      <c r="O159">
        <v>0</v>
      </c>
      <c r="P159">
        <v>0.03</v>
      </c>
      <c r="Q159">
        <v>1.24</v>
      </c>
      <c r="R159">
        <v>-0.32</v>
      </c>
      <c r="S159">
        <v>0.9</v>
      </c>
      <c r="T159">
        <v>1.26</v>
      </c>
      <c r="U159" s="1" t="s">
        <v>38</v>
      </c>
    </row>
    <row r="160" spans="1:21" x14ac:dyDescent="0.3">
      <c r="A160" s="1" t="s">
        <v>190</v>
      </c>
      <c r="B160" s="1" t="s">
        <v>60</v>
      </c>
      <c r="C160">
        <v>4.1900000000000004</v>
      </c>
      <c r="D160">
        <v>0.42</v>
      </c>
      <c r="E160" s="1">
        <v>397.38</v>
      </c>
      <c r="F160">
        <v>0.23</v>
      </c>
      <c r="G160">
        <v>0.03</v>
      </c>
      <c r="H160">
        <v>0.75</v>
      </c>
      <c r="I160">
        <v>0.14000000000000001</v>
      </c>
      <c r="J160">
        <v>0.03</v>
      </c>
      <c r="K160">
        <v>1.21</v>
      </c>
      <c r="L160">
        <v>0.15</v>
      </c>
      <c r="M160">
        <v>0.61</v>
      </c>
      <c r="N160">
        <v>1.45</v>
      </c>
      <c r="O160">
        <v>0.32</v>
      </c>
      <c r="P160">
        <v>0.03</v>
      </c>
      <c r="Q160">
        <v>2.57</v>
      </c>
      <c r="R160">
        <v>1.35</v>
      </c>
      <c r="S160">
        <v>0.7</v>
      </c>
      <c r="T160">
        <v>0.47</v>
      </c>
      <c r="U160" s="1" t="s">
        <v>51</v>
      </c>
    </row>
    <row r="161" spans="1:21" x14ac:dyDescent="0.3">
      <c r="A161" s="1" t="s">
        <v>191</v>
      </c>
      <c r="B161" s="1" t="s">
        <v>60</v>
      </c>
      <c r="C161">
        <v>91.73</v>
      </c>
      <c r="D161">
        <v>0.43</v>
      </c>
      <c r="E161" s="1">
        <v>379.38</v>
      </c>
      <c r="F161">
        <v>0.31</v>
      </c>
      <c r="G161">
        <v>0.12</v>
      </c>
      <c r="H161">
        <v>0.46</v>
      </c>
      <c r="I161">
        <v>7.0000000000000007E-2</v>
      </c>
      <c r="J161">
        <v>0</v>
      </c>
      <c r="K161">
        <v>1.02</v>
      </c>
      <c r="L161">
        <v>0.31</v>
      </c>
      <c r="M161">
        <v>0.12</v>
      </c>
      <c r="N161">
        <v>0.05</v>
      </c>
      <c r="O161">
        <v>0.04</v>
      </c>
      <c r="P161">
        <v>0.06</v>
      </c>
      <c r="Q161">
        <v>0.57999999999999996</v>
      </c>
      <c r="R161">
        <v>-0.44</v>
      </c>
      <c r="S161">
        <v>0.59</v>
      </c>
      <c r="T161">
        <v>1.75</v>
      </c>
      <c r="U161" s="1" t="s">
        <v>37</v>
      </c>
    </row>
    <row r="162" spans="1:21" x14ac:dyDescent="0.3">
      <c r="A162" s="1" t="s">
        <v>192</v>
      </c>
      <c r="B162" s="1" t="s">
        <v>60</v>
      </c>
      <c r="C162">
        <v>65.7</v>
      </c>
      <c r="D162">
        <v>0.42</v>
      </c>
      <c r="E162" s="1">
        <v>338.63</v>
      </c>
      <c r="F162">
        <v>0.15</v>
      </c>
      <c r="G162">
        <v>0.01</v>
      </c>
      <c r="H162">
        <v>0.51</v>
      </c>
      <c r="I162">
        <v>7.0000000000000007E-2</v>
      </c>
      <c r="J162">
        <v>0.01</v>
      </c>
      <c r="K162">
        <v>0.82</v>
      </c>
      <c r="L162">
        <v>0.13</v>
      </c>
      <c r="M162">
        <v>0.32</v>
      </c>
      <c r="N162">
        <v>2.52</v>
      </c>
      <c r="O162">
        <v>0.05</v>
      </c>
      <c r="P162">
        <v>0.05</v>
      </c>
      <c r="Q162">
        <v>3.07</v>
      </c>
      <c r="R162">
        <v>2.25</v>
      </c>
      <c r="S162">
        <v>0.47</v>
      </c>
      <c r="T162">
        <v>0.27</v>
      </c>
      <c r="U162" s="1" t="s">
        <v>37</v>
      </c>
    </row>
    <row r="163" spans="1:21" x14ac:dyDescent="0.3">
      <c r="A163" s="1" t="s">
        <v>193</v>
      </c>
      <c r="B163" s="1" t="s">
        <v>60</v>
      </c>
      <c r="C163">
        <v>9.85</v>
      </c>
      <c r="D163">
        <v>0.39</v>
      </c>
      <c r="E163" s="1">
        <v>276.69</v>
      </c>
      <c r="F163">
        <v>0.21</v>
      </c>
      <c r="G163">
        <v>7.0000000000000007E-2</v>
      </c>
      <c r="H163">
        <v>0.45</v>
      </c>
      <c r="I163">
        <v>0.04</v>
      </c>
      <c r="J163">
        <v>0</v>
      </c>
      <c r="K163">
        <v>0.8</v>
      </c>
      <c r="L163">
        <v>0.2</v>
      </c>
      <c r="M163">
        <v>7.0000000000000007E-2</v>
      </c>
      <c r="N163">
        <v>0.01</v>
      </c>
      <c r="O163">
        <v>0.01</v>
      </c>
      <c r="P163">
        <v>0.03</v>
      </c>
      <c r="Q163">
        <v>0.32</v>
      </c>
      <c r="R163">
        <v>-0.48</v>
      </c>
      <c r="S163">
        <v>0.46</v>
      </c>
      <c r="T163">
        <v>2.48</v>
      </c>
      <c r="U163" s="1" t="s">
        <v>194</v>
      </c>
    </row>
  </sheetData>
  <phoneticPr fontId="1" type="noConversion"/>
  <pageMargins left="0.7" right="0.7" top="0.75" bottom="0.75" header="0.3" footer="0.3"/>
  <drawing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7A342A1F-C514-41C7-8FC7-43A33218F132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counteriers 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yeswanth pavan basava</dc:creator>
  <cp:lastModifiedBy>yeswanth pavan basava</cp:lastModifiedBy>
  <dcterms:created xsi:type="dcterms:W3CDTF">2015-06-05T18:17:20Z</dcterms:created>
  <dcterms:modified xsi:type="dcterms:W3CDTF">2026-04-17T05:05:44Z</dcterms:modified>
</cp:coreProperties>
</file>